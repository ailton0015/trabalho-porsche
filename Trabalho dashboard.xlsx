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c5e6d07e09f89f/Documentos/"/>
    </mc:Choice>
  </mc:AlternateContent>
  <xr:revisionPtr revIDLastSave="0" documentId="8_{4FB2BEFC-B44C-4665-A6FF-7D9B5C774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2" l="1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K60" i="1"/>
  <c r="K59" i="1"/>
  <c r="K58" i="1"/>
  <c r="K57" i="1"/>
  <c r="H57" i="1"/>
  <c r="G57" i="1"/>
  <c r="E57" i="1"/>
  <c r="D57" i="1"/>
  <c r="K56" i="1"/>
  <c r="H56" i="1"/>
  <c r="G56" i="1"/>
  <c r="D56" i="1"/>
  <c r="E56" i="1" s="1"/>
  <c r="K55" i="1"/>
  <c r="G55" i="1"/>
  <c r="H55" i="1" s="1"/>
  <c r="E55" i="1"/>
  <c r="D55" i="1"/>
  <c r="B55" i="1"/>
  <c r="K54" i="1"/>
  <c r="G54" i="1"/>
  <c r="H54" i="1" s="1"/>
  <c r="D54" i="1"/>
  <c r="E54" i="1" s="1"/>
  <c r="B54" i="1"/>
  <c r="K53" i="1"/>
  <c r="G53" i="1"/>
  <c r="H53" i="1" s="1"/>
  <c r="E53" i="1"/>
  <c r="D53" i="1"/>
  <c r="B53" i="1"/>
  <c r="K52" i="1"/>
  <c r="G52" i="1"/>
  <c r="H52" i="1" s="1"/>
  <c r="D52" i="1"/>
  <c r="E52" i="1" s="1"/>
  <c r="B52" i="1"/>
  <c r="J7" i="1"/>
  <c r="D7" i="1"/>
  <c r="G7" i="1" s="1"/>
  <c r="A7" i="1"/>
</calcChain>
</file>

<file path=xl/sharedStrings.xml><?xml version="1.0" encoding="utf-8"?>
<sst xmlns="http://schemas.openxmlformats.org/spreadsheetml/2006/main" count="389" uniqueCount="136">
  <si>
    <t>PORSCHE | DASHBOARD DE VENDAS</t>
  </si>
  <si>
    <t>Receita, mix de modelos e concentração geográfica · USD · Base sanitizada</t>
  </si>
  <si>
    <t>Modelo</t>
  </si>
  <si>
    <t>Todos</t>
  </si>
  <si>
    <t>Cidade</t>
  </si>
  <si>
    <t>Ano da venda</t>
  </si>
  <si>
    <t>Pagamento</t>
  </si>
  <si>
    <t>VENDAS ANALISADAS</t>
  </si>
  <si>
    <t>RECEITA TOTAL</t>
  </si>
  <si>
    <t>TICKET MÉDIO</t>
  </si>
  <si>
    <t>KM MÉDIA</t>
  </si>
  <si>
    <t>100 linhas na base original; 24 com data inválida foram excluídas de todas as métricas.</t>
  </si>
  <si>
    <t>Perguntas de negócio</t>
  </si>
  <si>
    <t>Modelos e cidades: gráficos mostram os 6 maiores na base limpa completa; valores se recalculam com os filtros. Ao selecionar uma cidade ou modelo, o respectivo gráfico destaca essa seleção.</t>
  </si>
  <si>
    <t>Dados de apoio dos gráficos</t>
  </si>
  <si>
    <t>Receita (USD)</t>
  </si>
  <si>
    <t>Forma de pagamento</t>
  </si>
  <si>
    <t>Vendas</t>
  </si>
  <si>
    <t>Wire Transfer</t>
  </si>
  <si>
    <t>Credit Card</t>
  </si>
  <si>
    <t>Cash</t>
  </si>
  <si>
    <t>Lease</t>
  </si>
  <si>
    <t>Bank Transfer</t>
  </si>
  <si>
    <t>Financing</t>
  </si>
  <si>
    <t>Crypto Payment</t>
  </si>
  <si>
    <t>ACH Payment</t>
  </si>
  <si>
    <t>Debit Card</t>
  </si>
  <si>
    <t>Data da venda</t>
  </si>
  <si>
    <t>Ano-modelo</t>
  </si>
  <si>
    <t>Preço de venda (USD)</t>
  </si>
  <si>
    <t>Quilometragem (mi)</t>
  </si>
  <si>
    <t>Incluído nos filtros</t>
  </si>
  <si>
    <t>Modelos</t>
  </si>
  <si>
    <t>Cidades</t>
  </si>
  <si>
    <t>Anos da venda</t>
  </si>
  <si>
    <t>Pagamentos</t>
  </si>
  <si>
    <t>911 Turbo S</t>
  </si>
  <si>
    <t>Seattle</t>
  </si>
  <si>
    <t>Cayenne Coupe</t>
  </si>
  <si>
    <t>Austin</t>
  </si>
  <si>
    <t>718 Boxster</t>
  </si>
  <si>
    <t>Albuquerque</t>
  </si>
  <si>
    <t>Taycan 4S</t>
  </si>
  <si>
    <t>Los Angeles</t>
  </si>
  <si>
    <t>718 Boxster GTS</t>
  </si>
  <si>
    <t>Anchorage</t>
  </si>
  <si>
    <t>Panamera 4</t>
  </si>
  <si>
    <t>Miami</t>
  </si>
  <si>
    <t>718 Cayman</t>
  </si>
  <si>
    <t>Atlanta</t>
  </si>
  <si>
    <t>911 Carrera S</t>
  </si>
  <si>
    <t>New York</t>
  </si>
  <si>
    <t>718 Cayman GT4 RS</t>
  </si>
  <si>
    <t>Chicago</t>
  </si>
  <si>
    <t>718 Cayman S</t>
  </si>
  <si>
    <t>Bakersfield</t>
  </si>
  <si>
    <t>Macan GTS</t>
  </si>
  <si>
    <t>Phoenix</t>
  </si>
  <si>
    <t>911 Carrera</t>
  </si>
  <si>
    <t>Boise</t>
  </si>
  <si>
    <t>Taycan Turbo</t>
  </si>
  <si>
    <t>Dallas</t>
  </si>
  <si>
    <t>911 Carrera Cabriolet</t>
  </si>
  <si>
    <t>Boston</t>
  </si>
  <si>
    <t>Panamera Turbo S</t>
  </si>
  <si>
    <t>San Jose</t>
  </si>
  <si>
    <t>911 Carrera GTS</t>
  </si>
  <si>
    <t>Buffalo</t>
  </si>
  <si>
    <t>Cayenne Turbo GT</t>
  </si>
  <si>
    <t>Houston</t>
  </si>
  <si>
    <t>Chandler</t>
  </si>
  <si>
    <t>911 Dakar</t>
  </si>
  <si>
    <t>Charlotte</t>
  </si>
  <si>
    <t>Macan</t>
  </si>
  <si>
    <t>Orlando</t>
  </si>
  <si>
    <t>911 GT3</t>
  </si>
  <si>
    <t>Chesapeake</t>
  </si>
  <si>
    <t>Taycan Cross Turismo</t>
  </si>
  <si>
    <t>911 Targa 4S</t>
  </si>
  <si>
    <t>Minneapolis</t>
  </si>
  <si>
    <t>911 Turbo</t>
  </si>
  <si>
    <t>Cincinnati</t>
  </si>
  <si>
    <t>Panamera</t>
  </si>
  <si>
    <t>Philadelphia</t>
  </si>
  <si>
    <t>Cleveland</t>
  </si>
  <si>
    <t>Macan Electric</t>
  </si>
  <si>
    <t>San Antonio</t>
  </si>
  <si>
    <t>Cayenne</t>
  </si>
  <si>
    <t>Colorado Springs</t>
  </si>
  <si>
    <t>Taycan GTS</t>
  </si>
  <si>
    <t>Raleigh</t>
  </si>
  <si>
    <t>Corpus Christi</t>
  </si>
  <si>
    <t>Detroit</t>
  </si>
  <si>
    <t>Cayenne E-Hybrid</t>
  </si>
  <si>
    <t>Indianapolis</t>
  </si>
  <si>
    <t>Cayenne S</t>
  </si>
  <si>
    <t>Panamera 4 E-Hybrid</t>
  </si>
  <si>
    <t>Fort Worth</t>
  </si>
  <si>
    <t>Cayenne Turbo</t>
  </si>
  <si>
    <t>Durham</t>
  </si>
  <si>
    <t>Macan T</t>
  </si>
  <si>
    <t>Jacksonville</t>
  </si>
  <si>
    <t>Taycan Turbo S</t>
  </si>
  <si>
    <t>San Diego</t>
  </si>
  <si>
    <t>Garland</t>
  </si>
  <si>
    <t>Sacramento</t>
  </si>
  <si>
    <t>Greensboro</t>
  </si>
  <si>
    <t>Henderson</t>
  </si>
  <si>
    <t>Taycan</t>
  </si>
  <si>
    <t>Milwaukee</t>
  </si>
  <si>
    <t>Macan S</t>
  </si>
  <si>
    <t>Honolulu</t>
  </si>
  <si>
    <t>Panamera 4S</t>
  </si>
  <si>
    <t>Kansas City</t>
  </si>
  <si>
    <t>Omaha</t>
  </si>
  <si>
    <t>Irvine</t>
  </si>
  <si>
    <t>Virginia Beach</t>
  </si>
  <si>
    <t>Panamera Turbo</t>
  </si>
  <si>
    <t>Laredo</t>
  </si>
  <si>
    <t>Mesa</t>
  </si>
  <si>
    <t>Lincoln</t>
  </si>
  <si>
    <t>Long Beach</t>
  </si>
  <si>
    <t>Tulsa</t>
  </si>
  <si>
    <t>Lubbock</t>
  </si>
  <si>
    <t>Wichita</t>
  </si>
  <si>
    <t>Madison</t>
  </si>
  <si>
    <t>New Orleans</t>
  </si>
  <si>
    <t>Riverside</t>
  </si>
  <si>
    <t>St. Louis</t>
  </si>
  <si>
    <t>Pittsburgh</t>
  </si>
  <si>
    <t>Plano</t>
  </si>
  <si>
    <t>Reno</t>
  </si>
  <si>
    <t>San Francisco</t>
  </si>
  <si>
    <t>Toledo</t>
  </si>
  <si>
    <t>Scottsdale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</si>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</sst>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US$&quot;\ #,##0"/>
    <numFmt numFmtId="165" formatCode="#,##0\ &quot;mi&quot;"/>
    <numFmt numFmtId="166" formatCode="&quot;US$&quot;\ #,##0.00"/>
  </numFmts>
  <fonts count="12">
    <font>
      <sz val="11"/>
      <name val="Carlito"/>
    </font>
    <font>
      <b/>
      <sz val="16"/>
      <color rgb="FF242521"/>
      <name val="Arial"/>
    </font>
    <font>
      <i/>
      <sz val="10"/>
      <color rgb="FF6B6C66"/>
      <name val="Arial"/>
    </font>
    <font>
      <b/>
      <sz val="9"/>
      <color rgb="FF242521"/>
      <name val="Arial"/>
    </font>
    <font>
      <b/>
      <sz val="10"/>
      <color rgb="FF242521"/>
      <name val="Arial"/>
    </font>
    <font>
      <b/>
      <sz val="9"/>
      <color rgb="FF6B6C66"/>
      <name val="Arial"/>
    </font>
    <font>
      <b/>
      <sz val="18"/>
      <color rgb="FFC90024"/>
      <name val="Arial"/>
    </font>
    <font>
      <i/>
      <sz val="9"/>
      <color rgb="FF6B6C66"/>
      <name val="Arial"/>
    </font>
    <font>
      <b/>
      <sz val="12"/>
      <color rgb="FF242521"/>
      <name val="Arial"/>
    </font>
    <font>
      <b/>
      <sz val="9"/>
      <color rgb="FFFFFFFF"/>
      <name val="Arial"/>
    </font>
    <font>
      <sz val="9"/>
      <color rgb="FF24252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4F0"/>
      </patternFill>
    </fill>
    <fill>
      <patternFill patternType="solid">
        <fgColor rgb="FF496457"/>
      </patternFill>
    </fill>
  </fills>
  <borders count="10">
    <border>
      <left/>
      <right/>
      <top/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E1DED7"/>
      </left>
      <right/>
      <top style="thin">
        <color rgb="FFE1DED7"/>
      </top>
      <bottom/>
      <diagonal/>
    </border>
    <border>
      <left/>
      <right/>
      <top style="thin">
        <color rgb="FFE1DED7"/>
      </top>
      <bottom/>
      <diagonal/>
    </border>
    <border>
      <left/>
      <right style="thin">
        <color rgb="FFE1DED7"/>
      </right>
      <top style="thin">
        <color rgb="FFE1DED7"/>
      </top>
      <bottom/>
      <diagonal/>
    </border>
    <border>
      <left style="thin">
        <color rgb="FFE1DED7"/>
      </left>
      <right/>
      <top/>
      <bottom/>
      <diagonal/>
    </border>
    <border>
      <left/>
      <right style="thin">
        <color rgb="FFE1DED7"/>
      </right>
      <top/>
      <bottom/>
      <diagonal/>
    </border>
    <border>
      <left style="thin">
        <color rgb="FFE1DED7"/>
      </left>
      <right/>
      <top/>
      <bottom style="thin">
        <color rgb="FFE1DED7"/>
      </bottom>
      <diagonal/>
    </border>
    <border>
      <left/>
      <right/>
      <top/>
      <bottom style="thin">
        <color rgb="FFE1DED7"/>
      </bottom>
      <diagonal/>
    </border>
    <border>
      <left/>
      <right style="thin">
        <color rgb="FFE1DED7"/>
      </right>
      <top/>
      <bottom style="thin">
        <color rgb="FFE1DED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/>
    <xf numFmtId="0" fontId="9" fillId="5" borderId="0" xfId="0" applyFont="1" applyFill="1"/>
    <xf numFmtId="0" fontId="9" fillId="5" borderId="0" xfId="0" applyFont="1" applyFill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164" fontId="6" fillId="3" borderId="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Como a receita evoluiu ao longo dos anos?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 (USD)</c:v>
          </c:tx>
          <c:spPr>
            <a:ln w="19050">
              <a:solidFill>
                <a:srgbClr val="C90024"/>
              </a:solidFill>
              <a:prstDash val="solid"/>
            </a:ln>
          </c:spPr>
          <c:marker>
            <c:symbol val="none"/>
          </c:marker>
          <c:cat>
            <c:numRef>
              <c:f>Dashboard!$A$52:$A$55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Dashboard!$B$52:$B$55</c:f>
              <c:numCache>
                <c:formatCode>"US$"\ #,##0</c:formatCode>
                <c:ptCount val="4"/>
                <c:pt idx="0">
                  <c:v>1439050.5</c:v>
                </c:pt>
                <c:pt idx="1">
                  <c:v>2167500</c:v>
                </c:pt>
                <c:pt idx="2">
                  <c:v>3901150</c:v>
                </c:pt>
                <c:pt idx="3">
                  <c:v>1979000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B-46EB-8C9D-0CE0ECE7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US$&quot;\ 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Quais modelos geram mais receita?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(USD)</c:v>
          </c:tx>
          <c:spPr>
            <a:solidFill>
              <a:srgbClr val="496457"/>
            </a:solidFill>
          </c:spPr>
          <c:invertIfNegative val="0"/>
          <c:cat>
            <c:strRef>
              <c:f>Dashboard!$D$52:$D$57</c:f>
              <c:strCache>
                <c:ptCount val="6"/>
                <c:pt idx="0">
                  <c:v>911 Turbo S</c:v>
                </c:pt>
                <c:pt idx="1">
                  <c:v>Cayenne Turbo GT</c:v>
                </c:pt>
                <c:pt idx="2">
                  <c:v>911 Dakar</c:v>
                </c:pt>
                <c:pt idx="3">
                  <c:v>Taycan Turbo</c:v>
                </c:pt>
                <c:pt idx="4">
                  <c:v>Taycan Turbo S</c:v>
                </c:pt>
                <c:pt idx="5">
                  <c:v>Taycan 4S</c:v>
                </c:pt>
              </c:strCache>
            </c:strRef>
          </c:cat>
          <c:val>
            <c:numRef>
              <c:f>Dashboard!$E$52:$E$57</c:f>
              <c:numCache>
                <c:formatCode>"US$"\ #,##0</c:formatCode>
                <c:ptCount val="6"/>
                <c:pt idx="0">
                  <c:v>726300</c:v>
                </c:pt>
                <c:pt idx="1">
                  <c:v>592800</c:v>
                </c:pt>
                <c:pt idx="2">
                  <c:v>540600</c:v>
                </c:pt>
                <c:pt idx="3">
                  <c:v>475700.5</c:v>
                </c:pt>
                <c:pt idx="4">
                  <c:v>432000</c:v>
                </c:pt>
                <c:pt idx="5">
                  <c:v>381600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B-48B6-A532-497E71F3B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US$&quot;\ 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Quais cidades mais contribuem para a receita?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(USD)</c:v>
          </c:tx>
          <c:spPr>
            <a:solidFill>
              <a:srgbClr val="496457"/>
            </a:solidFill>
          </c:spPr>
          <c:invertIfNegative val="0"/>
          <c:cat>
            <c:strRef>
              <c:f>Dashboard!$G$52:$G$57</c:f>
              <c:strCache>
                <c:ptCount val="6"/>
                <c:pt idx="0">
                  <c:v>Atlanta</c:v>
                </c:pt>
                <c:pt idx="1">
                  <c:v>New Orleans</c:v>
                </c:pt>
                <c:pt idx="2">
                  <c:v>Wichita</c:v>
                </c:pt>
                <c:pt idx="3">
                  <c:v>Dallas</c:v>
                </c:pt>
                <c:pt idx="4">
                  <c:v>Seattle</c:v>
                </c:pt>
                <c:pt idx="5">
                  <c:v>Riverside</c:v>
                </c:pt>
              </c:strCache>
            </c:strRef>
          </c:cat>
          <c:val>
            <c:numRef>
              <c:f>Dashboard!$H$52:$H$57</c:f>
              <c:numCache>
                <c:formatCode>"US$"\ #,##0</c:formatCode>
                <c:ptCount val="6"/>
                <c:pt idx="0">
                  <c:v>434800</c:v>
                </c:pt>
                <c:pt idx="1">
                  <c:v>361400</c:v>
                </c:pt>
                <c:pt idx="2">
                  <c:v>351600</c:v>
                </c:pt>
                <c:pt idx="3">
                  <c:v>317200.5</c:v>
                </c:pt>
                <c:pt idx="4">
                  <c:v>313900</c:v>
                </c:pt>
                <c:pt idx="5">
                  <c:v>268900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F-464B-91E0-E19CEB48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US$&quot;\ 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Qual método de pagamento é mais usado?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Vendas</c:v>
          </c:tx>
          <c:invertIfNegative val="0"/>
          <c:cat>
            <c:strRef>
              <c:f>Dashboard!$J$52:$J$60</c:f>
              <c:strCache>
                <c:ptCount val="9"/>
                <c:pt idx="0">
                  <c:v>Wire Transfer</c:v>
                </c:pt>
                <c:pt idx="1">
                  <c:v>Credit Card</c:v>
                </c:pt>
                <c:pt idx="2">
                  <c:v>Cash</c:v>
                </c:pt>
                <c:pt idx="3">
                  <c:v>Lease</c:v>
                </c:pt>
                <c:pt idx="4">
                  <c:v>Bank Transfer</c:v>
                </c:pt>
                <c:pt idx="5">
                  <c:v>Financing</c:v>
                </c:pt>
                <c:pt idx="6">
                  <c:v>Crypto Payment</c:v>
                </c:pt>
                <c:pt idx="7">
                  <c:v>ACH Payment</c:v>
                </c:pt>
                <c:pt idx="8">
                  <c:v>Debit Card</c:v>
                </c:pt>
              </c:strCache>
            </c:strRef>
          </c:cat>
          <c:val>
            <c:numRef>
              <c:f>Dashboard!$K$52:$K$60</c:f>
              <c:numCache>
                <c:formatCode>General</c:formatCode>
                <c:ptCount val="9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F-41B8-8CDA-61EA187F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I77" totalsRowShown="0">
  <tableColumns count="9">
    <tableColumn id="1" xr3:uid="{00000000-0010-0000-0000-000001000000}" name="Data da venda"/>
    <tableColumn id="2" xr3:uid="{00000000-0010-0000-0000-000002000000}" name="Modelo"/>
    <tableColumn id="3" xr3:uid="{00000000-0010-0000-0000-000003000000}" name="Ano da venda"/>
    <tableColumn id="4" xr3:uid="{00000000-0010-0000-0000-000004000000}" name="Ano-modelo"/>
    <tableColumn id="5" xr3:uid="{00000000-0010-0000-0000-000005000000}" name="Preço de venda (USD)"/>
    <tableColumn id="6" xr3:uid="{00000000-0010-0000-0000-000006000000}" name="Quilometragem (mi)"/>
    <tableColumn id="7" xr3:uid="{00000000-0010-0000-0000-000007000000}" name="Forma de pagamento"/>
    <tableColumn id="8" xr3:uid="{00000000-0010-0000-0000-000008000000}" name="Cidade"/>
    <tableColumn id="9" xr3:uid="{00000000-0010-0000-0000-000009000000}" name="Incluído nos filtr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0024"/>
  </sheetPr>
  <dimension ref="A1:L60"/>
  <sheetViews>
    <sheetView showGridLines="0" tabSelected="1" workbookViewId="0"/>
  </sheetViews>
  <sheetFormatPr defaultRowHeight="14.25"/>
  <cols>
    <col min="1" max="12" width="14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4" t="s">
        <v>3</v>
      </c>
      <c r="C3" s="3"/>
      <c r="D3" s="3" t="s">
        <v>4</v>
      </c>
      <c r="E3" s="4" t="s">
        <v>3</v>
      </c>
      <c r="F3" s="3"/>
      <c r="G3" s="3" t="s">
        <v>5</v>
      </c>
      <c r="H3" s="4" t="s">
        <v>3</v>
      </c>
      <c r="I3" s="3"/>
      <c r="J3" s="3" t="s">
        <v>6</v>
      </c>
      <c r="K3" s="4" t="s">
        <v>3</v>
      </c>
      <c r="L3" s="3"/>
    </row>
    <row r="4" spans="1:1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6" t="s">
        <v>7</v>
      </c>
      <c r="B6" s="17"/>
      <c r="C6" s="18"/>
      <c r="D6" s="16" t="s">
        <v>8</v>
      </c>
      <c r="E6" s="17"/>
      <c r="F6" s="18"/>
      <c r="G6" s="16" t="s">
        <v>9</v>
      </c>
      <c r="H6" s="17"/>
      <c r="I6" s="18"/>
      <c r="J6" s="16" t="s">
        <v>10</v>
      </c>
      <c r="K6" s="17"/>
      <c r="L6" s="18"/>
    </row>
    <row r="7" spans="1:12">
      <c r="A7" s="19">
        <f>SUM(Dados!$I$2:$I$77)</f>
        <v>76</v>
      </c>
      <c r="B7" s="20"/>
      <c r="C7" s="21"/>
      <c r="D7" s="25">
        <f>SUMPRODUCT(Dados!$I$2:$I$77,Dados!$E$2:$E$77)</f>
        <v>9486700.5</v>
      </c>
      <c r="E7" s="20"/>
      <c r="F7" s="21"/>
      <c r="G7" s="25">
        <f>IFERROR(D7/A7,0)</f>
        <v>124825.00657894737</v>
      </c>
      <c r="H7" s="20"/>
      <c r="I7" s="21"/>
      <c r="J7" s="26">
        <f>IFERROR(SUMPRODUCT(Dados!$I$2:$I$77,Dados!$F$2:$F$77)/A7,0)</f>
        <v>13378.75</v>
      </c>
      <c r="K7" s="20"/>
      <c r="L7" s="21"/>
    </row>
    <row r="8" spans="1:12">
      <c r="A8" s="22"/>
      <c r="B8" s="23"/>
      <c r="C8" s="24"/>
      <c r="D8" s="22"/>
      <c r="E8" s="23"/>
      <c r="F8" s="24"/>
      <c r="G8" s="22"/>
      <c r="H8" s="23"/>
      <c r="I8" s="24"/>
      <c r="J8" s="22"/>
      <c r="K8" s="23"/>
      <c r="L8" s="24"/>
    </row>
    <row r="9" spans="1:12">
      <c r="A9" s="27" t="s">
        <v>11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5.75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>
      <c r="A47" s="28" t="s">
        <v>13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50" spans="1:11">
      <c r="A50" t="s">
        <v>14</v>
      </c>
    </row>
    <row r="51" spans="1:11">
      <c r="A51" s="6" t="s">
        <v>5</v>
      </c>
      <c r="B51" s="6" t="s">
        <v>15</v>
      </c>
      <c r="C51" s="8"/>
      <c r="D51" s="6" t="s">
        <v>2</v>
      </c>
      <c r="E51" s="6" t="s">
        <v>15</v>
      </c>
      <c r="F51" s="8"/>
      <c r="G51" s="6" t="s">
        <v>4</v>
      </c>
      <c r="H51" s="6" t="s">
        <v>15</v>
      </c>
      <c r="I51" s="8"/>
      <c r="J51" s="6" t="s">
        <v>16</v>
      </c>
      <c r="K51" s="6" t="s">
        <v>17</v>
      </c>
    </row>
    <row r="52" spans="1:11">
      <c r="A52" s="8">
        <v>2024</v>
      </c>
      <c r="B52" s="14">
        <f>SUMIFS(Dados!$E$2:$E$77,Dados!$C$2:$C$77,A52,Dados!$I$2:$I$77,1)</f>
        <v>1439050.5</v>
      </c>
      <c r="C52" s="8"/>
      <c r="D52" s="8" t="str">
        <f>IF(Dashboard!$B$3="Todos","911 Turbo S",IF(0=0,Dashboard!$B$3,""))</f>
        <v>911 Turbo S</v>
      </c>
      <c r="E52" s="14">
        <f>IF(D52="","",SUMIFS(Dados!$E$2:$E$77,Dados!$B$2:$B$77,D52,Dados!$I$2:$I$77,1))</f>
        <v>726300</v>
      </c>
      <c r="F52" s="8"/>
      <c r="G52" s="8" t="str">
        <f>IF(Dashboard!$E$3="Todos","Atlanta",IF(0=0,Dashboard!$E$3,""))</f>
        <v>Atlanta</v>
      </c>
      <c r="H52" s="14">
        <f>IF(G52="","",SUMIFS(Dados!$E$2:$E$77,Dados!$H$2:$H$77,G52,Dados!$I$2:$I$77,1))</f>
        <v>434800</v>
      </c>
      <c r="I52" s="8"/>
      <c r="J52" s="8" t="s">
        <v>18</v>
      </c>
      <c r="K52" s="8">
        <f>SUMIFS(Dados!$I$2:$I$77,Dados!$G$2:$G$77,J52,Dados!$I$2:$I$77,1)</f>
        <v>16</v>
      </c>
    </row>
    <row r="53" spans="1:11">
      <c r="A53" s="8">
        <v>2025</v>
      </c>
      <c r="B53" s="14">
        <f>SUMIFS(Dados!$E$2:$E$77,Dados!$C$2:$C$77,A53,Dados!$I$2:$I$77,1)</f>
        <v>2167500</v>
      </c>
      <c r="C53" s="8"/>
      <c r="D53" s="8" t="str">
        <f>IF(Dashboard!$B$3="Todos","Cayenne Turbo GT",IF(1=0,Dashboard!$B$3,""))</f>
        <v>Cayenne Turbo GT</v>
      </c>
      <c r="E53" s="14">
        <f>IF(D53="","",SUMIFS(Dados!$E$2:$E$77,Dados!$B$2:$B$77,D53,Dados!$I$2:$I$77,1))</f>
        <v>592800</v>
      </c>
      <c r="F53" s="8"/>
      <c r="G53" s="8" t="str">
        <f>IF(Dashboard!$E$3="Todos","New Orleans",IF(1=0,Dashboard!$E$3,""))</f>
        <v>New Orleans</v>
      </c>
      <c r="H53" s="14">
        <f>IF(G53="","",SUMIFS(Dados!$E$2:$E$77,Dados!$H$2:$H$77,G53,Dados!$I$2:$I$77,1))</f>
        <v>361400</v>
      </c>
      <c r="I53" s="8"/>
      <c r="J53" s="8" t="s">
        <v>19</v>
      </c>
      <c r="K53" s="8">
        <f>SUMIFS(Dados!$I$2:$I$77,Dados!$G$2:$G$77,J53,Dados!$I$2:$I$77,1)</f>
        <v>12</v>
      </c>
    </row>
    <row r="54" spans="1:11">
      <c r="A54" s="8">
        <v>2026</v>
      </c>
      <c r="B54" s="14">
        <f>SUMIFS(Dados!$E$2:$E$77,Dados!$C$2:$C$77,A54,Dados!$I$2:$I$77,1)</f>
        <v>3901150</v>
      </c>
      <c r="C54" s="8"/>
      <c r="D54" s="8" t="str">
        <f>IF(Dashboard!$B$3="Todos","911 Dakar",IF(2=0,Dashboard!$B$3,""))</f>
        <v>911 Dakar</v>
      </c>
      <c r="E54" s="14">
        <f>IF(D54="","",SUMIFS(Dados!$E$2:$E$77,Dados!$B$2:$B$77,D54,Dados!$I$2:$I$77,1))</f>
        <v>540600</v>
      </c>
      <c r="F54" s="8"/>
      <c r="G54" s="8" t="str">
        <f>IF(Dashboard!$E$3="Todos","Wichita",IF(2=0,Dashboard!$E$3,""))</f>
        <v>Wichita</v>
      </c>
      <c r="H54" s="14">
        <f>IF(G54="","",SUMIFS(Dados!$E$2:$E$77,Dados!$H$2:$H$77,G54,Dados!$I$2:$I$77,1))</f>
        <v>351600</v>
      </c>
      <c r="I54" s="8"/>
      <c r="J54" s="8" t="s">
        <v>20</v>
      </c>
      <c r="K54" s="8">
        <f>SUMIFS(Dados!$I$2:$I$77,Dados!$G$2:$G$77,J54,Dados!$I$2:$I$77,1)</f>
        <v>10</v>
      </c>
    </row>
    <row r="55" spans="1:11">
      <c r="A55" s="8">
        <v>2027</v>
      </c>
      <c r="B55" s="14">
        <f>SUMIFS(Dados!$E$2:$E$77,Dados!$C$2:$C$77,A55,Dados!$I$2:$I$77,1)</f>
        <v>1979000</v>
      </c>
      <c r="C55" s="8"/>
      <c r="D55" s="8" t="str">
        <f>IF(Dashboard!$B$3="Todos","Taycan Turbo",IF(3=0,Dashboard!$B$3,""))</f>
        <v>Taycan Turbo</v>
      </c>
      <c r="E55" s="14">
        <f>IF(D55="","",SUMIFS(Dados!$E$2:$E$77,Dados!$B$2:$B$77,D55,Dados!$I$2:$I$77,1))</f>
        <v>475700.5</v>
      </c>
      <c r="F55" s="8"/>
      <c r="G55" s="8" t="str">
        <f>IF(Dashboard!$E$3="Todos","Dallas",IF(3=0,Dashboard!$E$3,""))</f>
        <v>Dallas</v>
      </c>
      <c r="H55" s="14">
        <f>IF(G55="","",SUMIFS(Dados!$E$2:$E$77,Dados!$H$2:$H$77,G55,Dados!$I$2:$I$77,1))</f>
        <v>317200.5</v>
      </c>
      <c r="I55" s="8"/>
      <c r="J55" s="8" t="s">
        <v>21</v>
      </c>
      <c r="K55" s="8">
        <f>SUMIFS(Dados!$I$2:$I$77,Dados!$G$2:$G$77,J55,Dados!$I$2:$I$77,1)</f>
        <v>10</v>
      </c>
    </row>
    <row r="56" spans="1:11">
      <c r="A56" s="8"/>
      <c r="B56" s="8"/>
      <c r="C56" s="8"/>
      <c r="D56" s="8" t="str">
        <f>IF(Dashboard!$B$3="Todos","Taycan Turbo S",IF(4=0,Dashboard!$B$3,""))</f>
        <v>Taycan Turbo S</v>
      </c>
      <c r="E56" s="14">
        <f>IF(D56="","",SUMIFS(Dados!$E$2:$E$77,Dados!$B$2:$B$77,D56,Dados!$I$2:$I$77,1))</f>
        <v>432000</v>
      </c>
      <c r="F56" s="8"/>
      <c r="G56" s="8" t="str">
        <f>IF(Dashboard!$E$3="Todos","Seattle",IF(4=0,Dashboard!$E$3,""))</f>
        <v>Seattle</v>
      </c>
      <c r="H56" s="14">
        <f>IF(G56="","",SUMIFS(Dados!$E$2:$E$77,Dados!$H$2:$H$77,G56,Dados!$I$2:$I$77,1))</f>
        <v>313900</v>
      </c>
      <c r="I56" s="8"/>
      <c r="J56" s="8" t="s">
        <v>22</v>
      </c>
      <c r="K56" s="8">
        <f>SUMIFS(Dados!$I$2:$I$77,Dados!$G$2:$G$77,J56,Dados!$I$2:$I$77,1)</f>
        <v>8</v>
      </c>
    </row>
    <row r="57" spans="1:11">
      <c r="A57" s="8"/>
      <c r="B57" s="8"/>
      <c r="C57" s="8"/>
      <c r="D57" s="8" t="str">
        <f>IF(Dashboard!$B$3="Todos","Taycan 4S",IF(5=0,Dashboard!$B$3,""))</f>
        <v>Taycan 4S</v>
      </c>
      <c r="E57" s="14">
        <f>IF(D57="","",SUMIFS(Dados!$E$2:$E$77,Dados!$B$2:$B$77,D57,Dados!$I$2:$I$77,1))</f>
        <v>381600</v>
      </c>
      <c r="F57" s="8"/>
      <c r="G57" s="8" t="str">
        <f>IF(Dashboard!$E$3="Todos","Riverside",IF(5=0,Dashboard!$E$3,""))</f>
        <v>Riverside</v>
      </c>
      <c r="H57" s="14">
        <f>IF(G57="","",SUMIFS(Dados!$E$2:$E$77,Dados!$H$2:$H$77,G57,Dados!$I$2:$I$77,1))</f>
        <v>268900</v>
      </c>
      <c r="I57" s="8"/>
      <c r="J57" s="8" t="s">
        <v>23</v>
      </c>
      <c r="K57" s="8">
        <f>SUMIFS(Dados!$I$2:$I$77,Dados!$G$2:$G$77,J57,Dados!$I$2:$I$77,1)</f>
        <v>7</v>
      </c>
    </row>
    <row r="58" spans="1:11">
      <c r="A58" s="8"/>
      <c r="B58" s="8"/>
      <c r="C58" s="8"/>
      <c r="D58" s="8"/>
      <c r="E58" s="8"/>
      <c r="F58" s="8"/>
      <c r="G58" s="8"/>
      <c r="H58" s="8"/>
      <c r="I58" s="8"/>
      <c r="J58" s="8" t="s">
        <v>24</v>
      </c>
      <c r="K58" s="8">
        <f>SUMIFS(Dados!$I$2:$I$77,Dados!$G$2:$G$77,J58,Dados!$I$2:$I$77,1)</f>
        <v>6</v>
      </c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 t="s">
        <v>25</v>
      </c>
      <c r="K59" s="8">
        <f>SUMIFS(Dados!$I$2:$I$77,Dados!$G$2:$G$77,J59,Dados!$I$2:$I$77,1)</f>
        <v>4</v>
      </c>
    </row>
    <row r="60" spans="1:11">
      <c r="A60" s="8"/>
      <c r="B60" s="8"/>
      <c r="C60" s="8"/>
      <c r="D60" s="8"/>
      <c r="E60" s="8"/>
      <c r="F60" s="8"/>
      <c r="G60" s="8"/>
      <c r="H60" s="8"/>
      <c r="I60" s="8"/>
      <c r="J60" s="8" t="s">
        <v>26</v>
      </c>
      <c r="K60" s="8">
        <f>SUMIFS(Dados!$I$2:$I$77,Dados!$G$2:$G$77,J60,Dados!$I$2:$I$77,1)</f>
        <v>3</v>
      </c>
    </row>
  </sheetData>
  <mergeCells count="10">
    <mergeCell ref="J6:L6"/>
    <mergeCell ref="J7:L8"/>
    <mergeCell ref="A9:L9"/>
    <mergeCell ref="A47:L48"/>
    <mergeCell ref="A6:C6"/>
    <mergeCell ref="A7:C8"/>
    <mergeCell ref="D6:F6"/>
    <mergeCell ref="D7:F8"/>
    <mergeCell ref="G6:I6"/>
    <mergeCell ref="G7:I8"/>
  </mergeCells>
  <dataValidations count="4">
    <dataValidation type="list" sqref="B3" xr:uid="{00000000-0002-0000-0000-000000000000}">
      <formula1>INDIRECT("Dados!$K$2:$K$39")</formula1>
    </dataValidation>
    <dataValidation type="list" sqref="E3" xr:uid="{00000000-0002-0000-0000-000001000000}">
      <formula1>INDIRECT("Dados!$M$2:$M$65")</formula1>
    </dataValidation>
    <dataValidation type="list" sqref="H3" xr:uid="{00000000-0002-0000-0000-000002000000}">
      <formula1>INDIRECT("Dados!$O$2:$O$6")</formula1>
    </dataValidation>
    <dataValidation type="list" sqref="K3" xr:uid="{00000000-0002-0000-0000-000003000000}">
      <formula1>INDIRECT("Dados!$Q$2:$Q$11")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B0A8"/>
  </sheetPr>
  <dimension ref="A1:Q77"/>
  <sheetViews>
    <sheetView showGridLines="0" workbookViewId="0"/>
  </sheetViews>
  <sheetFormatPr defaultRowHeight="14.25"/>
  <cols>
    <col min="1" max="1" width="16" customWidth="1"/>
    <col min="2" max="2" width="26" customWidth="1"/>
    <col min="3" max="4" width="15" customWidth="1"/>
    <col min="5" max="5" width="21" customWidth="1"/>
    <col min="6" max="6" width="22" customWidth="1"/>
    <col min="7" max="7" width="24" customWidth="1"/>
    <col min="8" max="9" width="22" customWidth="1"/>
    <col min="11" max="11" width="22" customWidth="1"/>
    <col min="13" max="13" width="22" customWidth="1"/>
    <col min="15" max="15" width="22" customWidth="1"/>
    <col min="17" max="17" width="22" customWidth="1"/>
  </cols>
  <sheetData>
    <row r="1" spans="1:17">
      <c r="A1" s="7" t="s">
        <v>27</v>
      </c>
      <c r="B1" s="7" t="s">
        <v>2</v>
      </c>
      <c r="C1" s="7" t="s">
        <v>5</v>
      </c>
      <c r="D1" s="7" t="s">
        <v>28</v>
      </c>
      <c r="E1" s="7" t="s">
        <v>29</v>
      </c>
      <c r="F1" s="7" t="s">
        <v>30</v>
      </c>
      <c r="G1" s="7" t="s">
        <v>16</v>
      </c>
      <c r="H1" s="7" t="s">
        <v>4</v>
      </c>
      <c r="I1" s="7" t="s">
        <v>31</v>
      </c>
      <c r="K1" s="6" t="s">
        <v>32</v>
      </c>
      <c r="M1" s="6" t="s">
        <v>33</v>
      </c>
      <c r="O1" s="6" t="s">
        <v>34</v>
      </c>
      <c r="Q1" s="6" t="s">
        <v>35</v>
      </c>
    </row>
    <row r="2" spans="1:17">
      <c r="A2" s="9">
        <v>45365</v>
      </c>
      <c r="B2" s="10" t="s">
        <v>36</v>
      </c>
      <c r="C2" s="11">
        <v>2024</v>
      </c>
      <c r="D2" s="11">
        <v>2024</v>
      </c>
      <c r="E2" s="12">
        <v>235000</v>
      </c>
      <c r="F2" s="13">
        <v>1200</v>
      </c>
      <c r="G2" s="10" t="s">
        <v>18</v>
      </c>
      <c r="H2" s="10" t="s">
        <v>37</v>
      </c>
      <c r="I2" s="10">
        <f>IF(AND(OR(Dashboard!$B$3="Todos",B2=Dashboard!$B$3),OR(Dashboard!$E$3="Todos",H2=Dashboard!$E$3),OR(Dashboard!$H$3="Todos",C2=Dashboard!$H$3),OR(Dashboard!$K$3="Todos",G2=Dashboard!$K$3)),1,0)</f>
        <v>1</v>
      </c>
      <c r="K2" t="s">
        <v>3</v>
      </c>
      <c r="M2" t="s">
        <v>3</v>
      </c>
      <c r="O2" t="s">
        <v>3</v>
      </c>
      <c r="Q2" t="s">
        <v>3</v>
      </c>
    </row>
    <row r="3" spans="1:17">
      <c r="A3" s="9">
        <v>45400</v>
      </c>
      <c r="B3" s="10" t="s">
        <v>38</v>
      </c>
      <c r="C3" s="11">
        <v>2024</v>
      </c>
      <c r="D3" s="11">
        <v>2023</v>
      </c>
      <c r="E3" s="12">
        <v>112750</v>
      </c>
      <c r="F3" s="13">
        <v>6400</v>
      </c>
      <c r="G3" s="10" t="s">
        <v>23</v>
      </c>
      <c r="H3" s="10" t="s">
        <v>39</v>
      </c>
      <c r="I3" s="10">
        <f>IF(AND(OR(Dashboard!$B$3="Todos",B3=Dashboard!$B$3),OR(Dashboard!$E$3="Todos",H3=Dashboard!$E$3),OR(Dashboard!$H$3="Todos",C3=Dashboard!$H$3),OR(Dashboard!$K$3="Todos",G3=Dashboard!$K$3)),1,0)</f>
        <v>1</v>
      </c>
      <c r="K3" t="s">
        <v>40</v>
      </c>
      <c r="M3" t="s">
        <v>41</v>
      </c>
      <c r="O3">
        <v>2024</v>
      </c>
      <c r="Q3" t="s">
        <v>25</v>
      </c>
    </row>
    <row r="4" spans="1:17">
      <c r="A4" s="9">
        <v>45434</v>
      </c>
      <c r="B4" s="10" t="s">
        <v>42</v>
      </c>
      <c r="C4" s="11">
        <v>2024</v>
      </c>
      <c r="D4" s="11">
        <v>2024</v>
      </c>
      <c r="E4" s="12">
        <v>121000</v>
      </c>
      <c r="F4" s="13">
        <v>0</v>
      </c>
      <c r="G4" s="10" t="s">
        <v>22</v>
      </c>
      <c r="H4" s="10" t="s">
        <v>43</v>
      </c>
      <c r="I4" s="10">
        <f>IF(AND(OR(Dashboard!$B$3="Todos",B4=Dashboard!$B$3),OR(Dashboard!$E$3="Todos",H4=Dashboard!$E$3),OR(Dashboard!$H$3="Todos",C4=Dashboard!$H$3),OR(Dashboard!$K$3="Todos",G4=Dashboard!$K$3)),1,0)</f>
        <v>1</v>
      </c>
      <c r="K4" t="s">
        <v>44</v>
      </c>
      <c r="M4" t="s">
        <v>45</v>
      </c>
      <c r="O4">
        <v>2025</v>
      </c>
      <c r="Q4" t="s">
        <v>22</v>
      </c>
    </row>
    <row r="5" spans="1:17">
      <c r="A5" s="9">
        <v>45510</v>
      </c>
      <c r="B5" s="10" t="s">
        <v>46</v>
      </c>
      <c r="C5" s="11">
        <v>2024</v>
      </c>
      <c r="D5" s="11">
        <v>2023</v>
      </c>
      <c r="E5" s="12">
        <v>104500</v>
      </c>
      <c r="F5" s="13">
        <v>14500</v>
      </c>
      <c r="G5" s="10" t="s">
        <v>19</v>
      </c>
      <c r="H5" s="10" t="s">
        <v>47</v>
      </c>
      <c r="I5" s="10">
        <f>IF(AND(OR(Dashboard!$B$3="Todos",B5=Dashboard!$B$3),OR(Dashboard!$E$3="Todos",H5=Dashboard!$E$3),OR(Dashboard!$H$3="Todos",C5=Dashboard!$H$3),OR(Dashboard!$K$3="Todos",G5=Dashboard!$K$3)),1,0)</f>
        <v>1</v>
      </c>
      <c r="K5" t="s">
        <v>48</v>
      </c>
      <c r="M5" t="s">
        <v>49</v>
      </c>
      <c r="O5">
        <v>2026</v>
      </c>
      <c r="Q5" t="s">
        <v>20</v>
      </c>
    </row>
    <row r="6" spans="1:17">
      <c r="A6" s="9">
        <v>45484</v>
      </c>
      <c r="B6" s="10" t="s">
        <v>50</v>
      </c>
      <c r="C6" s="11">
        <v>2024</v>
      </c>
      <c r="D6" s="11">
        <v>2020</v>
      </c>
      <c r="E6" s="12">
        <v>96300</v>
      </c>
      <c r="F6" s="13">
        <v>41000</v>
      </c>
      <c r="G6" s="10" t="s">
        <v>21</v>
      </c>
      <c r="H6" s="10" t="s">
        <v>51</v>
      </c>
      <c r="I6" s="10">
        <f>IF(AND(OR(Dashboard!$B$3="Todos",B6=Dashboard!$B$3),OR(Dashboard!$E$3="Todos",H6=Dashboard!$E$3),OR(Dashboard!$H$3="Todos",C6=Dashboard!$H$3),OR(Dashboard!$K$3="Todos",G6=Dashboard!$K$3)),1,0)</f>
        <v>1</v>
      </c>
      <c r="K6" t="s">
        <v>52</v>
      </c>
      <c r="M6" t="s">
        <v>39</v>
      </c>
      <c r="O6">
        <v>2027</v>
      </c>
      <c r="Q6" t="s">
        <v>19</v>
      </c>
    </row>
    <row r="7" spans="1:17">
      <c r="A7" s="9">
        <v>45523</v>
      </c>
      <c r="B7" s="10" t="s">
        <v>40</v>
      </c>
      <c r="C7" s="11">
        <v>2024</v>
      </c>
      <c r="D7" s="11">
        <v>2021</v>
      </c>
      <c r="E7" s="12">
        <v>73500</v>
      </c>
      <c r="F7" s="13">
        <v>22300</v>
      </c>
      <c r="G7" s="10" t="s">
        <v>26</v>
      </c>
      <c r="H7" s="10" t="s">
        <v>53</v>
      </c>
      <c r="I7" s="10">
        <f>IF(AND(OR(Dashboard!$B$3="Todos",B7=Dashboard!$B$3),OR(Dashboard!$E$3="Todos",H7=Dashboard!$E$3),OR(Dashboard!$H$3="Todos",C7=Dashboard!$H$3),OR(Dashboard!$K$3="Todos",G7=Dashboard!$K$3)),1,0)</f>
        <v>1</v>
      </c>
      <c r="K7" t="s">
        <v>54</v>
      </c>
      <c r="M7" t="s">
        <v>55</v>
      </c>
      <c r="Q7" t="s">
        <v>24</v>
      </c>
    </row>
    <row r="8" spans="1:17">
      <c r="A8" s="9">
        <v>45537</v>
      </c>
      <c r="B8" s="10" t="s">
        <v>56</v>
      </c>
      <c r="C8" s="11">
        <v>2024</v>
      </c>
      <c r="D8" s="11">
        <v>2024</v>
      </c>
      <c r="E8" s="12">
        <v>95000</v>
      </c>
      <c r="F8" s="13">
        <v>3500</v>
      </c>
      <c r="G8" s="10" t="s">
        <v>23</v>
      </c>
      <c r="H8" s="10" t="s">
        <v>57</v>
      </c>
      <c r="I8" s="10">
        <f>IF(AND(OR(Dashboard!$B$3="Todos",B8=Dashboard!$B$3),OR(Dashboard!$E$3="Todos",H8=Dashboard!$E$3),OR(Dashboard!$H$3="Todos",C8=Dashboard!$H$3),OR(Dashboard!$K$3="Todos",G8=Dashboard!$K$3)),1,0)</f>
        <v>1</v>
      </c>
      <c r="K8" t="s">
        <v>58</v>
      </c>
      <c r="M8" t="s">
        <v>59</v>
      </c>
      <c r="Q8" t="s">
        <v>26</v>
      </c>
    </row>
    <row r="9" spans="1:17">
      <c r="A9" s="9">
        <v>45552</v>
      </c>
      <c r="B9" s="10" t="s">
        <v>60</v>
      </c>
      <c r="C9" s="11">
        <v>2024</v>
      </c>
      <c r="D9" s="11">
        <v>2023</v>
      </c>
      <c r="E9" s="12">
        <v>153200.5</v>
      </c>
      <c r="F9" s="13">
        <v>11</v>
      </c>
      <c r="G9" s="10" t="s">
        <v>25</v>
      </c>
      <c r="H9" s="10" t="s">
        <v>61</v>
      </c>
      <c r="I9" s="10">
        <f>IF(AND(OR(Dashboard!$B$3="Todos",B9=Dashboard!$B$3),OR(Dashboard!$E$3="Todos",H9=Dashboard!$E$3),OR(Dashboard!$H$3="Todos",C9=Dashboard!$H$3),OR(Dashboard!$K$3="Todos",G9=Dashboard!$K$3)),1,0)</f>
        <v>1</v>
      </c>
      <c r="K9" t="s">
        <v>62</v>
      </c>
      <c r="M9" t="s">
        <v>63</v>
      </c>
      <c r="Q9" t="s">
        <v>23</v>
      </c>
    </row>
    <row r="10" spans="1:17">
      <c r="A10" s="9">
        <v>45423</v>
      </c>
      <c r="B10" s="10" t="s">
        <v>64</v>
      </c>
      <c r="C10" s="11">
        <v>2024</v>
      </c>
      <c r="D10" s="11">
        <v>2022</v>
      </c>
      <c r="E10" s="12">
        <v>132000</v>
      </c>
      <c r="F10" s="13">
        <v>19250</v>
      </c>
      <c r="G10" s="10" t="s">
        <v>20</v>
      </c>
      <c r="H10" s="10" t="s">
        <v>65</v>
      </c>
      <c r="I10" s="10">
        <f>IF(AND(OR(Dashboard!$B$3="Todos",B10=Dashboard!$B$3),OR(Dashboard!$E$3="Todos",H10=Dashboard!$E$3),OR(Dashboard!$H$3="Todos",C10=Dashboard!$H$3),OR(Dashboard!$K$3="Todos",G10=Dashboard!$K$3)),1,0)</f>
        <v>1</v>
      </c>
      <c r="K10" t="s">
        <v>66</v>
      </c>
      <c r="M10" t="s">
        <v>67</v>
      </c>
      <c r="Q10" t="s">
        <v>21</v>
      </c>
    </row>
    <row r="11" spans="1:17">
      <c r="A11" s="9">
        <v>45638</v>
      </c>
      <c r="B11" s="10" t="s">
        <v>68</v>
      </c>
      <c r="C11" s="11">
        <v>2024</v>
      </c>
      <c r="D11" s="11">
        <v>2024</v>
      </c>
      <c r="E11" s="12">
        <v>188000</v>
      </c>
      <c r="F11" s="13">
        <v>2100</v>
      </c>
      <c r="G11" s="10" t="s">
        <v>24</v>
      </c>
      <c r="H11" s="10" t="s">
        <v>69</v>
      </c>
      <c r="I11" s="10">
        <f>IF(AND(OR(Dashboard!$B$3="Todos",B11=Dashboard!$B$3),OR(Dashboard!$E$3="Todos",H11=Dashboard!$E$3),OR(Dashboard!$H$3="Todos",C11=Dashboard!$H$3),OR(Dashboard!$K$3="Todos",G11=Dashboard!$K$3)),1,0)</f>
        <v>1</v>
      </c>
      <c r="K11" t="s">
        <v>50</v>
      </c>
      <c r="M11" t="s">
        <v>70</v>
      </c>
      <c r="Q11" t="s">
        <v>18</v>
      </c>
    </row>
    <row r="12" spans="1:17">
      <c r="A12" s="9">
        <v>45651</v>
      </c>
      <c r="B12" s="10" t="s">
        <v>62</v>
      </c>
      <c r="C12" s="11">
        <v>2024</v>
      </c>
      <c r="D12" s="11">
        <v>2023</v>
      </c>
      <c r="E12" s="12">
        <v>127800</v>
      </c>
      <c r="F12" s="13">
        <v>12000</v>
      </c>
      <c r="G12" s="10" t="s">
        <v>19</v>
      </c>
      <c r="H12" s="10" t="s">
        <v>49</v>
      </c>
      <c r="I12" s="10">
        <f>IF(AND(OR(Dashboard!$B$3="Todos",B12=Dashboard!$B$3),OR(Dashboard!$E$3="Todos",H12=Dashboard!$E$3),OR(Dashboard!$H$3="Todos",C12=Dashboard!$H$3),OR(Dashboard!$K$3="Todos",G12=Dashboard!$K$3)),1,0)</f>
        <v>1</v>
      </c>
      <c r="K12" t="s">
        <v>71</v>
      </c>
      <c r="M12" t="s">
        <v>72</v>
      </c>
    </row>
    <row r="13" spans="1:17">
      <c r="A13" s="9">
        <v>45663</v>
      </c>
      <c r="B13" s="10" t="s">
        <v>73</v>
      </c>
      <c r="C13" s="11">
        <v>2025</v>
      </c>
      <c r="D13" s="11">
        <v>2021</v>
      </c>
      <c r="E13" s="12">
        <v>58900</v>
      </c>
      <c r="F13" s="13">
        <v>33700</v>
      </c>
      <c r="G13" s="10" t="s">
        <v>22</v>
      </c>
      <c r="H13" s="10" t="s">
        <v>74</v>
      </c>
      <c r="I13" s="10">
        <f>IF(AND(OR(Dashboard!$B$3="Todos",B13=Dashboard!$B$3),OR(Dashboard!$E$3="Todos",H13=Dashboard!$E$3),OR(Dashboard!$H$3="Todos",C13=Dashboard!$H$3),OR(Dashboard!$K$3="Todos",G13=Dashboard!$K$3)),1,0)</f>
        <v>1</v>
      </c>
      <c r="K13" t="s">
        <v>75</v>
      </c>
      <c r="M13" t="s">
        <v>76</v>
      </c>
    </row>
    <row r="14" spans="1:17">
      <c r="A14" s="9">
        <v>45702</v>
      </c>
      <c r="B14" s="10" t="s">
        <v>77</v>
      </c>
      <c r="C14" s="11">
        <v>2025</v>
      </c>
      <c r="D14" s="11">
        <v>2023</v>
      </c>
      <c r="E14" s="12">
        <v>118500</v>
      </c>
      <c r="F14" s="13">
        <v>7800</v>
      </c>
      <c r="G14" s="10" t="s">
        <v>18</v>
      </c>
      <c r="H14" s="10" t="s">
        <v>72</v>
      </c>
      <c r="I14" s="10">
        <f>IF(AND(OR(Dashboard!$B$3="Todos",B14=Dashboard!$B$3),OR(Dashboard!$E$3="Todos",H14=Dashboard!$E$3),OR(Dashboard!$H$3="Todos",C14=Dashboard!$H$3),OR(Dashboard!$K$3="Todos",G14=Dashboard!$K$3)),1,0)</f>
        <v>1</v>
      </c>
      <c r="K14" t="s">
        <v>78</v>
      </c>
      <c r="M14" t="s">
        <v>53</v>
      </c>
    </row>
    <row r="15" spans="1:17">
      <c r="A15" s="9">
        <v>45737</v>
      </c>
      <c r="B15" s="10" t="s">
        <v>78</v>
      </c>
      <c r="C15" s="11">
        <v>2025</v>
      </c>
      <c r="D15" s="11">
        <v>2024</v>
      </c>
      <c r="E15" s="12">
        <v>158750</v>
      </c>
      <c r="F15" s="13">
        <v>2500</v>
      </c>
      <c r="G15" s="10" t="s">
        <v>21</v>
      </c>
      <c r="H15" s="10" t="s">
        <v>79</v>
      </c>
      <c r="I15" s="10">
        <f>IF(AND(OR(Dashboard!$B$3="Todos",B15=Dashboard!$B$3),OR(Dashboard!$E$3="Todos",H15=Dashboard!$E$3),OR(Dashboard!$H$3="Todos",C15=Dashboard!$H$3),OR(Dashboard!$K$3="Todos",G15=Dashboard!$K$3)),1,0)</f>
        <v>1</v>
      </c>
      <c r="K15" t="s">
        <v>80</v>
      </c>
      <c r="M15" t="s">
        <v>81</v>
      </c>
    </row>
    <row r="16" spans="1:17">
      <c r="A16" s="9">
        <v>45744</v>
      </c>
      <c r="B16" s="10" t="s">
        <v>82</v>
      </c>
      <c r="C16" s="11">
        <v>2025</v>
      </c>
      <c r="D16" s="11">
        <v>2020</v>
      </c>
      <c r="E16" s="12">
        <v>72000</v>
      </c>
      <c r="F16" s="13">
        <v>49000</v>
      </c>
      <c r="G16" s="10" t="s">
        <v>22</v>
      </c>
      <c r="H16" s="10" t="s">
        <v>83</v>
      </c>
      <c r="I16" s="10">
        <f>IF(AND(OR(Dashboard!$B$3="Todos",B16=Dashboard!$B$3),OR(Dashboard!$E$3="Todos",H16=Dashboard!$E$3),OR(Dashboard!$H$3="Todos",C16=Dashboard!$H$3),OR(Dashboard!$K$3="Todos",G16=Dashboard!$K$3)),1,0)</f>
        <v>1</v>
      </c>
      <c r="K16" t="s">
        <v>36</v>
      </c>
      <c r="M16" t="s">
        <v>84</v>
      </c>
    </row>
    <row r="17" spans="1:13">
      <c r="A17" s="9">
        <v>45756</v>
      </c>
      <c r="B17" s="10" t="s">
        <v>85</v>
      </c>
      <c r="C17" s="11">
        <v>2025</v>
      </c>
      <c r="D17" s="11">
        <v>2025</v>
      </c>
      <c r="E17" s="12">
        <v>86500</v>
      </c>
      <c r="F17" s="13">
        <v>0</v>
      </c>
      <c r="G17" s="10" t="s">
        <v>18</v>
      </c>
      <c r="H17" s="10" t="s">
        <v>86</v>
      </c>
      <c r="I17" s="10">
        <f>IF(AND(OR(Dashboard!$B$3="Todos",B17=Dashboard!$B$3),OR(Dashboard!$E$3="Todos",H17=Dashboard!$E$3),OR(Dashboard!$H$3="Todos",C17=Dashboard!$H$3),OR(Dashboard!$K$3="Todos",G17=Dashboard!$K$3)),1,0)</f>
        <v>1</v>
      </c>
      <c r="K17" t="s">
        <v>87</v>
      </c>
      <c r="M17" t="s">
        <v>88</v>
      </c>
    </row>
    <row r="18" spans="1:13">
      <c r="A18" s="9">
        <v>45789</v>
      </c>
      <c r="B18" s="10" t="s">
        <v>89</v>
      </c>
      <c r="C18" s="11">
        <v>2025</v>
      </c>
      <c r="D18" s="11">
        <v>2023</v>
      </c>
      <c r="E18" s="12">
        <v>139000</v>
      </c>
      <c r="F18" s="13">
        <v>6250</v>
      </c>
      <c r="G18" s="10" t="s">
        <v>23</v>
      </c>
      <c r="H18" s="10" t="s">
        <v>90</v>
      </c>
      <c r="I18" s="10">
        <f>IF(AND(OR(Dashboard!$B$3="Todos",B18=Dashboard!$B$3),OR(Dashboard!$E$3="Todos",H18=Dashboard!$E$3),OR(Dashboard!$H$3="Todos",C18=Dashboard!$H$3),OR(Dashboard!$K$3="Todos",G18=Dashboard!$K$3)),1,0)</f>
        <v>1</v>
      </c>
      <c r="K18" t="s">
        <v>38</v>
      </c>
      <c r="M18" t="s">
        <v>91</v>
      </c>
    </row>
    <row r="19" spans="1:13">
      <c r="A19" s="9">
        <v>45826</v>
      </c>
      <c r="B19" s="10" t="s">
        <v>87</v>
      </c>
      <c r="C19" s="11">
        <v>2025</v>
      </c>
      <c r="D19" s="11">
        <v>2021</v>
      </c>
      <c r="E19" s="12">
        <v>76800</v>
      </c>
      <c r="F19" s="13">
        <v>38400</v>
      </c>
      <c r="G19" s="10" t="s">
        <v>19</v>
      </c>
      <c r="H19" s="10" t="s">
        <v>92</v>
      </c>
      <c r="I19" s="10">
        <f>IF(AND(OR(Dashboard!$B$3="Todos",B19=Dashboard!$B$3),OR(Dashboard!$E$3="Todos",H19=Dashboard!$E$3),OR(Dashboard!$H$3="Todos",C19=Dashboard!$H$3),OR(Dashboard!$K$3="Todos",G19=Dashboard!$K$3)),1,0)</f>
        <v>1</v>
      </c>
      <c r="K19" t="s">
        <v>93</v>
      </c>
      <c r="M19" t="s">
        <v>61</v>
      </c>
    </row>
    <row r="20" spans="1:13">
      <c r="A20" s="9">
        <v>45845</v>
      </c>
      <c r="B20" s="10" t="s">
        <v>66</v>
      </c>
      <c r="C20" s="11">
        <v>2025</v>
      </c>
      <c r="D20" s="11">
        <v>2022</v>
      </c>
      <c r="E20" s="12">
        <v>119900</v>
      </c>
      <c r="F20" s="13">
        <v>13600</v>
      </c>
      <c r="G20" s="10" t="s">
        <v>20</v>
      </c>
      <c r="H20" s="10" t="s">
        <v>94</v>
      </c>
      <c r="I20" s="10">
        <f>IF(AND(OR(Dashboard!$B$3="Todos",B20=Dashboard!$B$3),OR(Dashboard!$E$3="Todos",H20=Dashboard!$E$3),OR(Dashboard!$H$3="Todos",C20=Dashboard!$H$3),OR(Dashboard!$K$3="Todos",G20=Dashboard!$K$3)),1,0)</f>
        <v>1</v>
      </c>
      <c r="K20" t="s">
        <v>95</v>
      </c>
      <c r="M20" t="s">
        <v>92</v>
      </c>
    </row>
    <row r="21" spans="1:13">
      <c r="A21" s="9">
        <v>45860</v>
      </c>
      <c r="B21" s="10" t="s">
        <v>96</v>
      </c>
      <c r="C21" s="11">
        <v>2025</v>
      </c>
      <c r="D21" s="11">
        <v>2023</v>
      </c>
      <c r="E21" s="12">
        <v>109250</v>
      </c>
      <c r="F21" s="13">
        <v>8900</v>
      </c>
      <c r="G21" s="10" t="s">
        <v>21</v>
      </c>
      <c r="H21" s="10" t="s">
        <v>97</v>
      </c>
      <c r="I21" s="10">
        <f>IF(AND(OR(Dashboard!$B$3="Todos",B21=Dashboard!$B$3),OR(Dashboard!$E$3="Todos",H21=Dashboard!$E$3),OR(Dashboard!$H$3="Todos",C21=Dashboard!$H$3),OR(Dashboard!$K$3="Todos",G21=Dashboard!$K$3)),1,0)</f>
        <v>1</v>
      </c>
      <c r="K21" t="s">
        <v>98</v>
      </c>
      <c r="M21" t="s">
        <v>99</v>
      </c>
    </row>
    <row r="22" spans="1:13">
      <c r="A22" s="9">
        <v>45883</v>
      </c>
      <c r="B22" s="10" t="s">
        <v>100</v>
      </c>
      <c r="C22" s="11">
        <v>2025</v>
      </c>
      <c r="D22" s="11">
        <v>2022</v>
      </c>
      <c r="E22" s="12">
        <v>82000</v>
      </c>
      <c r="F22" s="13">
        <v>21750</v>
      </c>
      <c r="G22" s="10" t="s">
        <v>18</v>
      </c>
      <c r="H22" s="10" t="s">
        <v>101</v>
      </c>
      <c r="I22" s="10">
        <f>IF(AND(OR(Dashboard!$B$3="Todos",B22=Dashboard!$B$3),OR(Dashboard!$E$3="Todos",H22=Dashboard!$E$3),OR(Dashboard!$H$3="Todos",C22=Dashboard!$H$3),OR(Dashboard!$K$3="Todos",G22=Dashboard!$K$3)),1,0)</f>
        <v>1</v>
      </c>
      <c r="K22" t="s">
        <v>68</v>
      </c>
      <c r="M22" t="s">
        <v>97</v>
      </c>
    </row>
    <row r="23" spans="1:13">
      <c r="A23" s="9">
        <v>45901</v>
      </c>
      <c r="B23" s="10" t="s">
        <v>102</v>
      </c>
      <c r="C23" s="11">
        <v>2025</v>
      </c>
      <c r="D23" s="11">
        <v>2025</v>
      </c>
      <c r="E23" s="12">
        <v>214000</v>
      </c>
      <c r="F23" s="13">
        <v>0</v>
      </c>
      <c r="G23" s="10" t="s">
        <v>24</v>
      </c>
      <c r="H23" s="10" t="s">
        <v>103</v>
      </c>
      <c r="I23" s="10">
        <f>IF(AND(OR(Dashboard!$B$3="Todos",B23=Dashboard!$B$3),OR(Dashboard!$E$3="Todos",H23=Dashboard!$E$3),OR(Dashboard!$H$3="Todos",C23=Dashboard!$H$3),OR(Dashboard!$K$3="Todos",G23=Dashboard!$K$3)),1,0)</f>
        <v>1</v>
      </c>
      <c r="K23" t="s">
        <v>73</v>
      </c>
      <c r="M23" t="s">
        <v>104</v>
      </c>
    </row>
    <row r="24" spans="1:13">
      <c r="A24" s="9">
        <v>45918</v>
      </c>
      <c r="B24" s="10" t="s">
        <v>95</v>
      </c>
      <c r="C24" s="11">
        <v>2025</v>
      </c>
      <c r="D24" s="11">
        <v>2023</v>
      </c>
      <c r="E24" s="12">
        <v>98200</v>
      </c>
      <c r="F24" s="13">
        <v>12200</v>
      </c>
      <c r="G24" s="10" t="s">
        <v>22</v>
      </c>
      <c r="H24" s="10" t="s">
        <v>105</v>
      </c>
      <c r="I24" s="10">
        <f>IF(AND(OR(Dashboard!$B$3="Todos",B24=Dashboard!$B$3),OR(Dashboard!$E$3="Todos",H24=Dashboard!$E$3),OR(Dashboard!$H$3="Todos",C24=Dashboard!$H$3),OR(Dashboard!$K$3="Todos",G24=Dashboard!$K$3)),1,0)</f>
        <v>1</v>
      </c>
      <c r="K24" t="s">
        <v>85</v>
      </c>
      <c r="M24" t="s">
        <v>106</v>
      </c>
    </row>
    <row r="25" spans="1:13">
      <c r="A25" s="9">
        <v>45934</v>
      </c>
      <c r="B25" s="10" t="s">
        <v>73</v>
      </c>
      <c r="C25" s="11">
        <v>2025</v>
      </c>
      <c r="D25" s="11">
        <v>2022</v>
      </c>
      <c r="E25" s="12">
        <v>67500</v>
      </c>
      <c r="F25" s="13">
        <v>24100</v>
      </c>
      <c r="G25" s="10" t="s">
        <v>23</v>
      </c>
      <c r="H25" s="10" t="s">
        <v>84</v>
      </c>
      <c r="I25" s="10">
        <f>IF(AND(OR(Dashboard!$B$3="Todos",B25=Dashboard!$B$3),OR(Dashboard!$E$3="Todos",H25=Dashboard!$E$3),OR(Dashboard!$H$3="Todos",C25=Dashboard!$H$3),OR(Dashboard!$K$3="Todos",G25=Dashboard!$K$3)),1,0)</f>
        <v>1</v>
      </c>
      <c r="K25" t="s">
        <v>56</v>
      </c>
      <c r="M25" t="s">
        <v>107</v>
      </c>
    </row>
    <row r="26" spans="1:13">
      <c r="A26" s="9">
        <v>45942</v>
      </c>
      <c r="B26" s="10" t="s">
        <v>108</v>
      </c>
      <c r="C26" s="11">
        <v>2025</v>
      </c>
      <c r="D26" s="11">
        <v>2025</v>
      </c>
      <c r="E26" s="12">
        <v>116900</v>
      </c>
      <c r="F26" s="13">
        <v>0</v>
      </c>
      <c r="G26" s="10" t="s">
        <v>18</v>
      </c>
      <c r="H26" s="10" t="s">
        <v>109</v>
      </c>
      <c r="I26" s="10">
        <f>IF(AND(OR(Dashboard!$B$3="Todos",B26=Dashboard!$B$3),OR(Dashboard!$E$3="Todos",H26=Dashboard!$E$3),OR(Dashboard!$H$3="Todos",C26=Dashboard!$H$3),OR(Dashboard!$K$3="Todos",G26=Dashboard!$K$3)),1,0)</f>
        <v>1</v>
      </c>
      <c r="K26" t="s">
        <v>110</v>
      </c>
      <c r="M26" t="s">
        <v>111</v>
      </c>
    </row>
    <row r="27" spans="1:13">
      <c r="A27" s="9">
        <v>45959</v>
      </c>
      <c r="B27" s="10" t="s">
        <v>112</v>
      </c>
      <c r="C27" s="11">
        <v>2025</v>
      </c>
      <c r="D27" s="11">
        <v>2024</v>
      </c>
      <c r="E27" s="12">
        <v>112000</v>
      </c>
      <c r="F27" s="13">
        <v>10</v>
      </c>
      <c r="G27" s="10" t="s">
        <v>20</v>
      </c>
      <c r="H27" s="10" t="s">
        <v>113</v>
      </c>
      <c r="I27" s="10">
        <f>IF(AND(OR(Dashboard!$B$3="Todos",B27=Dashboard!$B$3),OR(Dashboard!$E$3="Todos",H27=Dashboard!$E$3),OR(Dashboard!$H$3="Todos",C27=Dashboard!$H$3),OR(Dashboard!$K$3="Todos",G27=Dashboard!$K$3)),1,0)</f>
        <v>1</v>
      </c>
      <c r="K27" t="s">
        <v>100</v>
      </c>
      <c r="M27" t="s">
        <v>69</v>
      </c>
    </row>
    <row r="28" spans="1:13">
      <c r="A28" s="9">
        <v>45699</v>
      </c>
      <c r="B28" s="10" t="s">
        <v>40</v>
      </c>
      <c r="C28" s="11">
        <v>2025</v>
      </c>
      <c r="D28" s="11">
        <v>2021</v>
      </c>
      <c r="E28" s="12">
        <v>74000</v>
      </c>
      <c r="F28" s="13">
        <v>31000</v>
      </c>
      <c r="G28" s="10" t="s">
        <v>26</v>
      </c>
      <c r="H28" s="10" t="s">
        <v>114</v>
      </c>
      <c r="I28" s="10">
        <f>IF(AND(OR(Dashboard!$B$3="Todos",B28=Dashboard!$B$3),OR(Dashboard!$E$3="Todos",H28=Dashboard!$E$3),OR(Dashboard!$H$3="Todos",C28=Dashboard!$H$3),OR(Dashboard!$K$3="Todos",G28=Dashboard!$K$3)),1,0)</f>
        <v>1</v>
      </c>
      <c r="K28" t="s">
        <v>82</v>
      </c>
      <c r="M28" t="s">
        <v>94</v>
      </c>
    </row>
    <row r="29" spans="1:13">
      <c r="A29" s="9">
        <v>45977</v>
      </c>
      <c r="B29" s="10" t="s">
        <v>80</v>
      </c>
      <c r="C29" s="11">
        <v>2025</v>
      </c>
      <c r="D29" s="11">
        <v>2024</v>
      </c>
      <c r="E29" s="12">
        <v>198300</v>
      </c>
      <c r="F29" s="13">
        <v>2400</v>
      </c>
      <c r="G29" s="10" t="s">
        <v>18</v>
      </c>
      <c r="H29" s="10" t="s">
        <v>41</v>
      </c>
      <c r="I29" s="10">
        <f>IF(AND(OR(Dashboard!$B$3="Todos",B29=Dashboard!$B$3),OR(Dashboard!$E$3="Todos",H29=Dashboard!$E$3),OR(Dashboard!$H$3="Todos",C29=Dashboard!$H$3),OR(Dashboard!$K$3="Todos",G29=Dashboard!$K$3)),1,0)</f>
        <v>1</v>
      </c>
      <c r="K29" t="s">
        <v>46</v>
      </c>
      <c r="M29" t="s">
        <v>115</v>
      </c>
    </row>
    <row r="30" spans="1:13">
      <c r="A30" s="9">
        <v>45998</v>
      </c>
      <c r="B30" s="10" t="s">
        <v>42</v>
      </c>
      <c r="C30" s="11">
        <v>2025</v>
      </c>
      <c r="D30" s="11">
        <v>2025</v>
      </c>
      <c r="E30" s="12">
        <v>129000</v>
      </c>
      <c r="F30" s="13">
        <v>0</v>
      </c>
      <c r="G30" s="10" t="s">
        <v>25</v>
      </c>
      <c r="H30" s="10" t="s">
        <v>116</v>
      </c>
      <c r="I30" s="10">
        <f>IF(AND(OR(Dashboard!$B$3="Todos",B30=Dashboard!$B$3),OR(Dashboard!$E$3="Todos",H30=Dashboard!$E$3),OR(Dashboard!$H$3="Todos",C30=Dashboard!$H$3),OR(Dashboard!$K$3="Todos",G30=Dashboard!$K$3)),1,0)</f>
        <v>1</v>
      </c>
      <c r="K30" t="s">
        <v>96</v>
      </c>
      <c r="M30" t="s">
        <v>101</v>
      </c>
    </row>
    <row r="31" spans="1:13">
      <c r="A31" s="9">
        <v>46013</v>
      </c>
      <c r="B31" s="10" t="s">
        <v>117</v>
      </c>
      <c r="C31" s="11">
        <v>2025</v>
      </c>
      <c r="D31" s="11">
        <v>2022</v>
      </c>
      <c r="E31" s="12">
        <v>136000</v>
      </c>
      <c r="F31" s="13">
        <v>18400</v>
      </c>
      <c r="G31" s="10" t="s">
        <v>19</v>
      </c>
      <c r="H31" s="10" t="s">
        <v>88</v>
      </c>
      <c r="I31" s="10">
        <f>IF(AND(OR(Dashboard!$B$3="Todos",B31=Dashboard!$B$3),OR(Dashboard!$E$3="Todos",H31=Dashboard!$E$3),OR(Dashboard!$H$3="Todos",C31=Dashboard!$H$3),OR(Dashboard!$K$3="Todos",G31=Dashboard!$K$3)),1,0)</f>
        <v>1</v>
      </c>
      <c r="K31" t="s">
        <v>112</v>
      </c>
      <c r="M31" t="s">
        <v>113</v>
      </c>
    </row>
    <row r="32" spans="1:13">
      <c r="A32" s="9">
        <v>46030</v>
      </c>
      <c r="B32" s="10" t="s">
        <v>93</v>
      </c>
      <c r="C32" s="11">
        <v>2026</v>
      </c>
      <c r="D32" s="11">
        <v>2023</v>
      </c>
      <c r="E32" s="12">
        <v>92800</v>
      </c>
      <c r="F32" s="13">
        <v>15000</v>
      </c>
      <c r="G32" s="10" t="s">
        <v>21</v>
      </c>
      <c r="H32" s="10" t="s">
        <v>55</v>
      </c>
      <c r="I32" s="10">
        <f>IF(AND(OR(Dashboard!$B$3="Todos",B32=Dashboard!$B$3),OR(Dashboard!$E$3="Todos",H32=Dashboard!$E$3),OR(Dashboard!$H$3="Todos",C32=Dashboard!$H$3),OR(Dashboard!$K$3="Todos",G32=Dashboard!$K$3)),1,0)</f>
        <v>1</v>
      </c>
      <c r="K32" t="s">
        <v>117</v>
      </c>
      <c r="M32" t="s">
        <v>118</v>
      </c>
    </row>
    <row r="33" spans="1:13">
      <c r="A33" s="9">
        <v>46037</v>
      </c>
      <c r="B33" s="10" t="s">
        <v>100</v>
      </c>
      <c r="C33" s="11">
        <v>2026</v>
      </c>
      <c r="D33" s="11">
        <v>2022</v>
      </c>
      <c r="E33" s="12">
        <v>72400</v>
      </c>
      <c r="F33" s="13">
        <v>19750</v>
      </c>
      <c r="G33" s="10" t="s">
        <v>20</v>
      </c>
      <c r="H33" s="10" t="s">
        <v>119</v>
      </c>
      <c r="I33" s="10">
        <f>IF(AND(OR(Dashboard!$B$3="Todos",B33=Dashboard!$B$3),OR(Dashboard!$E$3="Todos",H33=Dashboard!$E$3),OR(Dashboard!$H$3="Todos",C33=Dashboard!$H$3),OR(Dashboard!$K$3="Todos",G33=Dashboard!$K$3)),1,0)</f>
        <v>1</v>
      </c>
      <c r="K33" t="s">
        <v>64</v>
      </c>
      <c r="M33" t="s">
        <v>120</v>
      </c>
    </row>
    <row r="34" spans="1:13">
      <c r="A34" s="9">
        <v>46050</v>
      </c>
      <c r="B34" s="10" t="s">
        <v>60</v>
      </c>
      <c r="C34" s="11">
        <v>2026</v>
      </c>
      <c r="D34" s="11">
        <v>2025</v>
      </c>
      <c r="E34" s="12">
        <v>158500</v>
      </c>
      <c r="F34" s="13">
        <v>3200</v>
      </c>
      <c r="G34" s="10" t="s">
        <v>24</v>
      </c>
      <c r="H34" s="10" t="s">
        <v>49</v>
      </c>
      <c r="I34" s="10">
        <f>IF(AND(OR(Dashboard!$B$3="Todos",B34=Dashboard!$B$3),OR(Dashboard!$E$3="Todos",H34=Dashboard!$E$3),OR(Dashboard!$H$3="Todos",C34=Dashboard!$H$3),OR(Dashboard!$K$3="Todos",G34=Dashboard!$K$3)),1,0)</f>
        <v>1</v>
      </c>
      <c r="K34" t="s">
        <v>108</v>
      </c>
      <c r="M34" t="s">
        <v>121</v>
      </c>
    </row>
    <row r="35" spans="1:13">
      <c r="A35" s="9">
        <v>46056</v>
      </c>
      <c r="B35" s="10" t="s">
        <v>48</v>
      </c>
      <c r="C35" s="11">
        <v>2026</v>
      </c>
      <c r="D35" s="11">
        <v>2021</v>
      </c>
      <c r="E35" s="12">
        <v>69900</v>
      </c>
      <c r="F35" s="13">
        <v>27600</v>
      </c>
      <c r="G35" s="10" t="s">
        <v>22</v>
      </c>
      <c r="H35" s="10" t="s">
        <v>121</v>
      </c>
      <c r="I35" s="10">
        <f>IF(AND(OR(Dashboard!$B$3="Todos",B35=Dashboard!$B$3),OR(Dashboard!$E$3="Todos",H35=Dashboard!$E$3),OR(Dashboard!$H$3="Todos",C35=Dashboard!$H$3),OR(Dashboard!$K$3="Todos",G35=Dashboard!$K$3)),1,0)</f>
        <v>1</v>
      </c>
      <c r="K35" t="s">
        <v>42</v>
      </c>
      <c r="M35" t="s">
        <v>43</v>
      </c>
    </row>
    <row r="36" spans="1:13">
      <c r="A36" s="9">
        <v>46072</v>
      </c>
      <c r="B36" s="10" t="s">
        <v>82</v>
      </c>
      <c r="C36" s="11">
        <v>2026</v>
      </c>
      <c r="D36" s="11">
        <v>2020</v>
      </c>
      <c r="E36" s="12">
        <v>71500</v>
      </c>
      <c r="F36" s="13">
        <v>52000</v>
      </c>
      <c r="G36" s="10" t="s">
        <v>18</v>
      </c>
      <c r="H36" s="10" t="s">
        <v>122</v>
      </c>
      <c r="I36" s="10">
        <f>IF(AND(OR(Dashboard!$B$3="Todos",B36=Dashboard!$B$3),OR(Dashboard!$E$3="Todos",H36=Dashboard!$E$3),OR(Dashboard!$H$3="Todos",C36=Dashboard!$H$3),OR(Dashboard!$K$3="Todos",G36=Dashboard!$K$3)),1,0)</f>
        <v>1</v>
      </c>
      <c r="K36" t="s">
        <v>77</v>
      </c>
      <c r="M36" t="s">
        <v>123</v>
      </c>
    </row>
    <row r="37" spans="1:13">
      <c r="A37" s="9">
        <v>46078</v>
      </c>
      <c r="B37" s="10" t="s">
        <v>98</v>
      </c>
      <c r="C37" s="11">
        <v>2026</v>
      </c>
      <c r="D37" s="11">
        <v>2023</v>
      </c>
      <c r="E37" s="12">
        <v>146800</v>
      </c>
      <c r="F37" s="13">
        <v>11300</v>
      </c>
      <c r="G37" s="10" t="s">
        <v>19</v>
      </c>
      <c r="H37" s="10" t="s">
        <v>124</v>
      </c>
      <c r="I37" s="10">
        <f>IF(AND(OR(Dashboard!$B$3="Todos",B37=Dashboard!$B$3),OR(Dashboard!$E$3="Todos",H37=Dashboard!$E$3),OR(Dashboard!$H$3="Todos",C37=Dashboard!$H$3),OR(Dashboard!$K$3="Todos",G37=Dashboard!$K$3)),1,0)</f>
        <v>1</v>
      </c>
      <c r="K37" t="s">
        <v>89</v>
      </c>
      <c r="M37" t="s">
        <v>125</v>
      </c>
    </row>
    <row r="38" spans="1:13">
      <c r="A38" s="9">
        <v>46082</v>
      </c>
      <c r="B38" s="10" t="s">
        <v>85</v>
      </c>
      <c r="C38" s="11">
        <v>2026</v>
      </c>
      <c r="D38" s="11">
        <v>2025</v>
      </c>
      <c r="E38" s="12">
        <v>89700</v>
      </c>
      <c r="F38" s="13">
        <v>0</v>
      </c>
      <c r="G38" s="10" t="s">
        <v>21</v>
      </c>
      <c r="H38" s="10" t="s">
        <v>126</v>
      </c>
      <c r="I38" s="10">
        <f>IF(AND(OR(Dashboard!$B$3="Todos",B38=Dashboard!$B$3),OR(Dashboard!$E$3="Todos",H38=Dashboard!$E$3),OR(Dashboard!$H$3="Todos",C38=Dashboard!$H$3),OR(Dashboard!$K$3="Todos",G38=Dashboard!$K$3)),1,0)</f>
        <v>1</v>
      </c>
      <c r="K38" t="s">
        <v>60</v>
      </c>
      <c r="M38" t="s">
        <v>119</v>
      </c>
    </row>
    <row r="39" spans="1:13">
      <c r="A39" s="9">
        <v>46095</v>
      </c>
      <c r="B39" s="10" t="s">
        <v>50</v>
      </c>
      <c r="C39" s="11">
        <v>2026</v>
      </c>
      <c r="D39" s="11">
        <v>2022</v>
      </c>
      <c r="E39" s="12">
        <v>104600</v>
      </c>
      <c r="F39" s="13">
        <v>15900</v>
      </c>
      <c r="G39" s="10" t="s">
        <v>22</v>
      </c>
      <c r="H39" s="10" t="s">
        <v>111</v>
      </c>
      <c r="I39" s="10">
        <f>IF(AND(OR(Dashboard!$B$3="Todos",B39=Dashboard!$B$3),OR(Dashboard!$E$3="Todos",H39=Dashboard!$E$3),OR(Dashboard!$H$3="Todos",C39=Dashboard!$H$3),OR(Dashboard!$K$3="Todos",G39=Dashboard!$K$3)),1,0)</f>
        <v>1</v>
      </c>
      <c r="K39" t="s">
        <v>102</v>
      </c>
      <c r="M39" t="s">
        <v>47</v>
      </c>
    </row>
    <row r="40" spans="1:13">
      <c r="A40" s="9">
        <v>46120</v>
      </c>
      <c r="B40" s="10" t="s">
        <v>87</v>
      </c>
      <c r="C40" s="11">
        <v>2026</v>
      </c>
      <c r="D40" s="11">
        <v>2021</v>
      </c>
      <c r="E40" s="12">
        <v>78400</v>
      </c>
      <c r="F40" s="13">
        <v>40250</v>
      </c>
      <c r="G40" s="10" t="s">
        <v>20</v>
      </c>
      <c r="H40" s="10" t="s">
        <v>107</v>
      </c>
      <c r="I40" s="10">
        <f>IF(AND(OR(Dashboard!$B$3="Todos",B40=Dashboard!$B$3),OR(Dashboard!$E$3="Todos",H40=Dashboard!$E$3),OR(Dashboard!$H$3="Todos",C40=Dashboard!$H$3),OR(Dashboard!$K$3="Todos",G40=Dashboard!$K$3)),1,0)</f>
        <v>1</v>
      </c>
      <c r="M40" t="s">
        <v>109</v>
      </c>
    </row>
    <row r="41" spans="1:13">
      <c r="A41" s="9">
        <v>46133</v>
      </c>
      <c r="B41" s="10" t="s">
        <v>71</v>
      </c>
      <c r="C41" s="11">
        <v>2026</v>
      </c>
      <c r="D41" s="11">
        <v>2024</v>
      </c>
      <c r="E41" s="12">
        <v>268900</v>
      </c>
      <c r="F41" s="13">
        <v>1400</v>
      </c>
      <c r="G41" s="10" t="s">
        <v>19</v>
      </c>
      <c r="H41" s="10" t="s">
        <v>127</v>
      </c>
      <c r="I41" s="10">
        <f>IF(AND(OR(Dashboard!$B$3="Todos",B41=Dashboard!$B$3),OR(Dashboard!$E$3="Todos",H41=Dashboard!$E$3),OR(Dashboard!$H$3="Todos",C41=Dashboard!$H$3),OR(Dashboard!$K$3="Todos",G41=Dashboard!$K$3)),1,0)</f>
        <v>1</v>
      </c>
      <c r="M41" t="s">
        <v>79</v>
      </c>
    </row>
    <row r="42" spans="1:13">
      <c r="A42" s="9">
        <v>46141</v>
      </c>
      <c r="B42" s="10" t="s">
        <v>46</v>
      </c>
      <c r="C42" s="11">
        <v>2026</v>
      </c>
      <c r="D42" s="11">
        <v>2023</v>
      </c>
      <c r="E42" s="12">
        <v>101300</v>
      </c>
      <c r="F42" s="13">
        <v>12700</v>
      </c>
      <c r="G42" s="10" t="s">
        <v>18</v>
      </c>
      <c r="H42" s="10" t="s">
        <v>91</v>
      </c>
      <c r="I42" s="10">
        <f>IF(AND(OR(Dashboard!$B$3="Todos",B42=Dashboard!$B$3),OR(Dashboard!$E$3="Todos",H42=Dashboard!$E$3),OR(Dashboard!$H$3="Todos",C42=Dashboard!$H$3),OR(Dashboard!$K$3="Todos",G42=Dashboard!$K$3)),1,0)</f>
        <v>1</v>
      </c>
      <c r="M42" t="s">
        <v>126</v>
      </c>
    </row>
    <row r="43" spans="1:13">
      <c r="A43" s="9">
        <v>46147</v>
      </c>
      <c r="B43" s="10" t="s">
        <v>110</v>
      </c>
      <c r="C43" s="11">
        <v>2026</v>
      </c>
      <c r="D43" s="11">
        <v>2021</v>
      </c>
      <c r="E43" s="12">
        <v>66750</v>
      </c>
      <c r="F43" s="13">
        <v>29800</v>
      </c>
      <c r="G43" s="10" t="s">
        <v>20</v>
      </c>
      <c r="H43" s="10" t="s">
        <v>128</v>
      </c>
      <c r="I43" s="10">
        <f>IF(AND(OR(Dashboard!$B$3="Todos",B43=Dashboard!$B$3),OR(Dashboard!$E$3="Todos",H43=Dashboard!$E$3),OR(Dashboard!$H$3="Todos",C43=Dashboard!$H$3),OR(Dashboard!$K$3="Todos",G43=Dashboard!$K$3)),1,0)</f>
        <v>1</v>
      </c>
      <c r="M43" t="s">
        <v>51</v>
      </c>
    </row>
    <row r="44" spans="1:13">
      <c r="A44" s="9">
        <v>46156</v>
      </c>
      <c r="B44" s="10" t="s">
        <v>77</v>
      </c>
      <c r="C44" s="11">
        <v>2026</v>
      </c>
      <c r="D44" s="11">
        <v>2024</v>
      </c>
      <c r="E44" s="12">
        <v>127900</v>
      </c>
      <c r="F44" s="13">
        <v>7500</v>
      </c>
      <c r="G44" s="10" t="s">
        <v>21</v>
      </c>
      <c r="H44" s="10" t="s">
        <v>129</v>
      </c>
      <c r="I44" s="10">
        <f>IF(AND(OR(Dashboard!$B$3="Todos",B44=Dashboard!$B$3),OR(Dashboard!$E$3="Todos",H44=Dashboard!$E$3),OR(Dashboard!$H$3="Todos",C44=Dashboard!$H$3),OR(Dashboard!$K$3="Todos",G44=Dashboard!$K$3)),1,0)</f>
        <v>1</v>
      </c>
      <c r="M44" t="s">
        <v>114</v>
      </c>
    </row>
    <row r="45" spans="1:13">
      <c r="A45" s="9">
        <v>46165</v>
      </c>
      <c r="B45" s="10" t="s">
        <v>68</v>
      </c>
      <c r="C45" s="11">
        <v>2026</v>
      </c>
      <c r="D45" s="11">
        <v>2025</v>
      </c>
      <c r="E45" s="12">
        <v>200000</v>
      </c>
      <c r="F45" s="13">
        <v>1950</v>
      </c>
      <c r="G45" s="10" t="s">
        <v>18</v>
      </c>
      <c r="H45" s="10" t="s">
        <v>81</v>
      </c>
      <c r="I45" s="10">
        <f>IF(AND(OR(Dashboard!$B$3="Todos",B45=Dashboard!$B$3),OR(Dashboard!$E$3="Todos",H45=Dashboard!$E$3),OR(Dashboard!$H$3="Todos",C45=Dashboard!$H$3),OR(Dashboard!$K$3="Todos",G45=Dashboard!$K$3)),1,0)</f>
        <v>1</v>
      </c>
      <c r="M45" t="s">
        <v>74</v>
      </c>
    </row>
    <row r="46" spans="1:13">
      <c r="A46" s="9">
        <v>46175</v>
      </c>
      <c r="B46" s="10" t="s">
        <v>62</v>
      </c>
      <c r="C46" s="11">
        <v>2026</v>
      </c>
      <c r="D46" s="11">
        <v>2023</v>
      </c>
      <c r="E46" s="12">
        <v>132000</v>
      </c>
      <c r="F46" s="13">
        <v>8800</v>
      </c>
      <c r="G46" s="10" t="s">
        <v>24</v>
      </c>
      <c r="H46" s="10" t="s">
        <v>45</v>
      </c>
      <c r="I46" s="10">
        <f>IF(AND(OR(Dashboard!$B$3="Todos",B46=Dashboard!$B$3),OR(Dashboard!$E$3="Todos",H46=Dashboard!$E$3),OR(Dashboard!$H$3="Todos",C46=Dashboard!$H$3),OR(Dashboard!$K$3="Todos",G46=Dashboard!$K$3)),1,0)</f>
        <v>1</v>
      </c>
      <c r="M46" t="s">
        <v>83</v>
      </c>
    </row>
    <row r="47" spans="1:13">
      <c r="A47" s="9">
        <v>46188</v>
      </c>
      <c r="B47" s="10" t="s">
        <v>52</v>
      </c>
      <c r="C47" s="11">
        <v>2026</v>
      </c>
      <c r="D47" s="11">
        <v>2024</v>
      </c>
      <c r="E47" s="12">
        <v>176400</v>
      </c>
      <c r="F47" s="13">
        <v>600</v>
      </c>
      <c r="G47" s="10" t="s">
        <v>19</v>
      </c>
      <c r="H47" s="10" t="s">
        <v>130</v>
      </c>
      <c r="I47" s="10">
        <f>IF(AND(OR(Dashboard!$B$3="Todos",B47=Dashboard!$B$3),OR(Dashboard!$E$3="Todos",H47=Dashboard!$E$3),OR(Dashboard!$H$3="Todos",C47=Dashboard!$H$3),OR(Dashboard!$K$3="Todos",G47=Dashboard!$K$3)),1,0)</f>
        <v>1</v>
      </c>
      <c r="M47" t="s">
        <v>57</v>
      </c>
    </row>
    <row r="48" spans="1:13">
      <c r="A48" s="9">
        <v>46210</v>
      </c>
      <c r="B48" s="10" t="s">
        <v>73</v>
      </c>
      <c r="C48" s="11">
        <v>2026</v>
      </c>
      <c r="D48" s="11">
        <v>2021</v>
      </c>
      <c r="E48" s="12">
        <v>59000</v>
      </c>
      <c r="F48" s="13">
        <v>36000</v>
      </c>
      <c r="G48" s="10" t="s">
        <v>23</v>
      </c>
      <c r="H48" s="10" t="s">
        <v>106</v>
      </c>
      <c r="I48" s="10">
        <f>IF(AND(OR(Dashboard!$B$3="Todos",B48=Dashboard!$B$3),OR(Dashboard!$E$3="Todos",H48=Dashboard!$E$3),OR(Dashboard!$H$3="Todos",C48=Dashboard!$H$3),OR(Dashboard!$K$3="Todos",G48=Dashboard!$K$3)),1,0)</f>
        <v>1</v>
      </c>
      <c r="M48" t="s">
        <v>129</v>
      </c>
    </row>
    <row r="49" spans="1:13">
      <c r="A49" s="9">
        <v>46223</v>
      </c>
      <c r="B49" s="10" t="s">
        <v>102</v>
      </c>
      <c r="C49" s="11">
        <v>2026</v>
      </c>
      <c r="D49" s="11">
        <v>2025</v>
      </c>
      <c r="E49" s="12">
        <v>218000</v>
      </c>
      <c r="F49" s="13">
        <v>0</v>
      </c>
      <c r="G49" s="10" t="s">
        <v>18</v>
      </c>
      <c r="H49" s="10" t="s">
        <v>120</v>
      </c>
      <c r="I49" s="10">
        <f>IF(AND(OR(Dashboard!$B$3="Todos",B49=Dashboard!$B$3),OR(Dashboard!$E$3="Todos",H49=Dashboard!$E$3),OR(Dashboard!$H$3="Todos",C49=Dashboard!$H$3),OR(Dashboard!$K$3="Todos",G49=Dashboard!$K$3)),1,0)</f>
        <v>1</v>
      </c>
      <c r="M49" t="s">
        <v>130</v>
      </c>
    </row>
    <row r="50" spans="1:13">
      <c r="A50" s="9">
        <v>46120</v>
      </c>
      <c r="B50" s="10" t="s">
        <v>66</v>
      </c>
      <c r="C50" s="11">
        <v>2026</v>
      </c>
      <c r="D50" s="11">
        <v>2024</v>
      </c>
      <c r="E50" s="12">
        <v>121750</v>
      </c>
      <c r="F50" s="13">
        <v>5872</v>
      </c>
      <c r="G50" s="10" t="s">
        <v>19</v>
      </c>
      <c r="H50" s="10" t="s">
        <v>70</v>
      </c>
      <c r="I50" s="10">
        <f>IF(AND(OR(Dashboard!$B$3="Todos",B50=Dashboard!$B$3),OR(Dashboard!$E$3="Todos",H50=Dashboard!$E$3),OR(Dashboard!$H$3="Todos",C50=Dashboard!$H$3),OR(Dashboard!$K$3="Todos",G50=Dashboard!$K$3)),1,0)</f>
        <v>1</v>
      </c>
      <c r="M50" t="s">
        <v>90</v>
      </c>
    </row>
    <row r="51" spans="1:13">
      <c r="A51" s="9">
        <v>46252</v>
      </c>
      <c r="B51" s="10" t="s">
        <v>44</v>
      </c>
      <c r="C51" s="11">
        <v>2026</v>
      </c>
      <c r="D51" s="11">
        <v>2023</v>
      </c>
      <c r="E51" s="12">
        <v>91500</v>
      </c>
      <c r="F51" s="13">
        <v>13300</v>
      </c>
      <c r="G51" s="10" t="s">
        <v>21</v>
      </c>
      <c r="H51" s="10" t="s">
        <v>131</v>
      </c>
      <c r="I51" s="10">
        <f>IF(AND(OR(Dashboard!$B$3="Todos",B51=Dashboard!$B$3),OR(Dashboard!$E$3="Todos",H51=Dashboard!$E$3),OR(Dashboard!$H$3="Todos",C51=Dashboard!$H$3),OR(Dashboard!$K$3="Todos",G51=Dashboard!$K$3)),1,0)</f>
        <v>1</v>
      </c>
      <c r="M51" t="s">
        <v>131</v>
      </c>
    </row>
    <row r="52" spans="1:13">
      <c r="A52" s="9">
        <v>46265</v>
      </c>
      <c r="B52" s="10" t="s">
        <v>64</v>
      </c>
      <c r="C52" s="11">
        <v>2026</v>
      </c>
      <c r="D52" s="11">
        <v>2022</v>
      </c>
      <c r="E52" s="12">
        <v>134000</v>
      </c>
      <c r="F52" s="13">
        <v>20100</v>
      </c>
      <c r="G52" s="10" t="s">
        <v>18</v>
      </c>
      <c r="H52" s="10" t="s">
        <v>67</v>
      </c>
      <c r="I52" s="10">
        <f>IF(AND(OR(Dashboard!$B$3="Todos",B52=Dashboard!$B$3),OR(Dashboard!$E$3="Todos",H52=Dashboard!$E$3),OR(Dashboard!$H$3="Todos",C52=Dashboard!$H$3),OR(Dashboard!$K$3="Todos",G52=Dashboard!$K$3)),1,0)</f>
        <v>1</v>
      </c>
      <c r="M52" t="s">
        <v>127</v>
      </c>
    </row>
    <row r="53" spans="1:13">
      <c r="A53" s="9">
        <v>46274</v>
      </c>
      <c r="B53" s="10" t="s">
        <v>56</v>
      </c>
      <c r="C53" s="11">
        <v>2026</v>
      </c>
      <c r="D53" s="11">
        <v>2024</v>
      </c>
      <c r="E53" s="12">
        <v>96800</v>
      </c>
      <c r="F53" s="13">
        <v>0</v>
      </c>
      <c r="G53" s="10" t="s">
        <v>25</v>
      </c>
      <c r="H53" s="10" t="s">
        <v>99</v>
      </c>
      <c r="I53" s="10">
        <f>IF(AND(OR(Dashboard!$B$3="Todos",B53=Dashboard!$B$3),OR(Dashboard!$E$3="Todos",H53=Dashboard!$E$3),OR(Dashboard!$H$3="Todos",C53=Dashboard!$H$3),OR(Dashboard!$K$3="Todos",G53=Dashboard!$K$3)),1,0)</f>
        <v>1</v>
      </c>
      <c r="M53" t="s">
        <v>105</v>
      </c>
    </row>
    <row r="54" spans="1:13">
      <c r="A54" s="9">
        <v>46282</v>
      </c>
      <c r="B54" s="10" t="s">
        <v>42</v>
      </c>
      <c r="C54" s="11">
        <v>2026</v>
      </c>
      <c r="D54" s="11">
        <v>2025</v>
      </c>
      <c r="E54" s="12">
        <v>131600</v>
      </c>
      <c r="F54" s="13">
        <v>2900</v>
      </c>
      <c r="G54" s="10" t="s">
        <v>18</v>
      </c>
      <c r="H54" s="10" t="s">
        <v>118</v>
      </c>
      <c r="I54" s="10">
        <f>IF(AND(OR(Dashboard!$B$3="Todos",B54=Dashboard!$B$3),OR(Dashboard!$E$3="Todos",H54=Dashboard!$E$3),OR(Dashboard!$H$3="Todos",C54=Dashboard!$H$3),OR(Dashboard!$K$3="Todos",G54=Dashboard!$K$3)),1,0)</f>
        <v>1</v>
      </c>
      <c r="M54" t="s">
        <v>86</v>
      </c>
    </row>
    <row r="55" spans="1:13">
      <c r="A55" s="9">
        <v>46293</v>
      </c>
      <c r="B55" s="10" t="s">
        <v>93</v>
      </c>
      <c r="C55" s="11">
        <v>2026</v>
      </c>
      <c r="D55" s="11">
        <v>2023</v>
      </c>
      <c r="E55" s="12">
        <v>94300</v>
      </c>
      <c r="F55" s="13">
        <v>13100</v>
      </c>
      <c r="G55" s="10" t="s">
        <v>20</v>
      </c>
      <c r="H55" s="10" t="s">
        <v>125</v>
      </c>
      <c r="I55" s="10">
        <f>IF(AND(OR(Dashboard!$B$3="Todos",B55=Dashboard!$B$3),OR(Dashboard!$E$3="Todos",H55=Dashboard!$E$3),OR(Dashboard!$H$3="Todos",C55=Dashboard!$H$3),OR(Dashboard!$K$3="Todos",G55=Dashboard!$K$3)),1,0)</f>
        <v>1</v>
      </c>
      <c r="M55" t="s">
        <v>103</v>
      </c>
    </row>
    <row r="56" spans="1:13">
      <c r="A56" s="9">
        <v>46301</v>
      </c>
      <c r="B56" s="10" t="s">
        <v>36</v>
      </c>
      <c r="C56" s="11">
        <v>2026</v>
      </c>
      <c r="D56" s="11">
        <v>2025</v>
      </c>
      <c r="E56" s="12">
        <v>242000</v>
      </c>
      <c r="F56" s="13">
        <v>1100</v>
      </c>
      <c r="G56" s="10" t="s">
        <v>24</v>
      </c>
      <c r="H56" s="10" t="s">
        <v>123</v>
      </c>
      <c r="I56" s="10">
        <f>IF(AND(OR(Dashboard!$B$3="Todos",B56=Dashboard!$B$3),OR(Dashboard!$E$3="Todos",H56=Dashboard!$E$3),OR(Dashboard!$H$3="Todos",C56=Dashboard!$H$3),OR(Dashboard!$K$3="Todos",G56=Dashboard!$K$3)),1,0)</f>
        <v>1</v>
      </c>
      <c r="M56" t="s">
        <v>132</v>
      </c>
    </row>
    <row r="57" spans="1:13">
      <c r="A57" s="9">
        <v>46311</v>
      </c>
      <c r="B57" s="10" t="s">
        <v>54</v>
      </c>
      <c r="C57" s="11">
        <v>2026</v>
      </c>
      <c r="D57" s="11">
        <v>2022</v>
      </c>
      <c r="E57" s="12">
        <v>82750</v>
      </c>
      <c r="F57" s="13">
        <v>22500</v>
      </c>
      <c r="G57" s="10" t="s">
        <v>19</v>
      </c>
      <c r="H57" s="10" t="s">
        <v>133</v>
      </c>
      <c r="I57" s="10">
        <f>IF(AND(OR(Dashboard!$B$3="Todos",B57=Dashboard!$B$3),OR(Dashboard!$E$3="Todos",H57=Dashboard!$E$3),OR(Dashboard!$H$3="Todos",C57=Dashboard!$H$3),OR(Dashboard!$K$3="Todos",G57=Dashboard!$K$3)),1,0)</f>
        <v>1</v>
      </c>
      <c r="M57" t="s">
        <v>65</v>
      </c>
    </row>
    <row r="58" spans="1:13">
      <c r="A58" s="9">
        <v>46324</v>
      </c>
      <c r="B58" s="10" t="s">
        <v>85</v>
      </c>
      <c r="C58" s="11">
        <v>2026</v>
      </c>
      <c r="D58" s="11">
        <v>2026</v>
      </c>
      <c r="E58" s="12">
        <v>91300</v>
      </c>
      <c r="F58" s="13">
        <v>0</v>
      </c>
      <c r="G58" s="10" t="s">
        <v>18</v>
      </c>
      <c r="H58" s="10" t="s">
        <v>115</v>
      </c>
      <c r="I58" s="10">
        <f>IF(AND(OR(Dashboard!$B$3="Todos",B58=Dashboard!$B$3),OR(Dashboard!$E$3="Todos",H58=Dashboard!$E$3),OR(Dashboard!$H$3="Todos",C58=Dashboard!$H$3),OR(Dashboard!$K$3="Todos",G58=Dashboard!$K$3)),1,0)</f>
        <v>1</v>
      </c>
      <c r="M58" t="s">
        <v>134</v>
      </c>
    </row>
    <row r="59" spans="1:13">
      <c r="A59" s="9">
        <v>46329</v>
      </c>
      <c r="B59" s="10" t="s">
        <v>82</v>
      </c>
      <c r="C59" s="11">
        <v>2026</v>
      </c>
      <c r="D59" s="11">
        <v>2021</v>
      </c>
      <c r="E59" s="12">
        <v>79900</v>
      </c>
      <c r="F59" s="13">
        <v>44800</v>
      </c>
      <c r="G59" s="10" t="s">
        <v>23</v>
      </c>
      <c r="H59" s="10" t="s">
        <v>104</v>
      </c>
      <c r="I59" s="10">
        <f>IF(AND(OR(Dashboard!$B$3="Todos",B59=Dashboard!$B$3),OR(Dashboard!$E$3="Todos",H59=Dashboard!$E$3),OR(Dashboard!$H$3="Todos",C59=Dashboard!$H$3),OR(Dashboard!$K$3="Todos",G59=Dashboard!$K$3)),1,0)</f>
        <v>1</v>
      </c>
      <c r="M59" t="s">
        <v>37</v>
      </c>
    </row>
    <row r="60" spans="1:13">
      <c r="A60" s="9">
        <v>46367</v>
      </c>
      <c r="B60" s="10" t="s">
        <v>78</v>
      </c>
      <c r="C60" s="11">
        <v>2026</v>
      </c>
      <c r="D60" s="11">
        <v>2023</v>
      </c>
      <c r="E60" s="12">
        <v>156500</v>
      </c>
      <c r="F60" s="13">
        <v>4200</v>
      </c>
      <c r="G60" s="10" t="s">
        <v>20</v>
      </c>
      <c r="H60" s="10" t="s">
        <v>76</v>
      </c>
      <c r="I60" s="10">
        <f>IF(AND(OR(Dashboard!$B$3="Todos",B60=Dashboard!$B$3),OR(Dashboard!$E$3="Todos",H60=Dashboard!$E$3),OR(Dashboard!$H$3="Todos",C60=Dashboard!$H$3),OR(Dashboard!$K$3="Todos",G60=Dashboard!$K$3)),1,0)</f>
        <v>1</v>
      </c>
      <c r="M60" t="s">
        <v>128</v>
      </c>
    </row>
    <row r="61" spans="1:13">
      <c r="A61" s="9">
        <v>46380</v>
      </c>
      <c r="B61" s="10" t="s">
        <v>108</v>
      </c>
      <c r="C61" s="11">
        <v>2026</v>
      </c>
      <c r="D61" s="11">
        <v>2025</v>
      </c>
      <c r="E61" s="12">
        <v>119900</v>
      </c>
      <c r="F61" s="13">
        <v>1250</v>
      </c>
      <c r="G61" s="10" t="s">
        <v>21</v>
      </c>
      <c r="H61" s="10" t="s">
        <v>134</v>
      </c>
      <c r="I61" s="10">
        <f>IF(AND(OR(Dashboard!$B$3="Todos",B61=Dashboard!$B$3),OR(Dashboard!$E$3="Todos",H61=Dashboard!$E$3),OR(Dashboard!$H$3="Todos",C61=Dashboard!$H$3),OR(Dashboard!$K$3="Todos",G61=Dashboard!$K$3)),1,0)</f>
        <v>1</v>
      </c>
      <c r="M61" t="s">
        <v>135</v>
      </c>
    </row>
    <row r="62" spans="1:13">
      <c r="A62" s="9">
        <v>46384</v>
      </c>
      <c r="B62" s="10" t="s">
        <v>75</v>
      </c>
      <c r="C62" s="11">
        <v>2026</v>
      </c>
      <c r="D62" s="11">
        <v>2024</v>
      </c>
      <c r="E62" s="12">
        <v>224000</v>
      </c>
      <c r="F62" s="13">
        <v>3000</v>
      </c>
      <c r="G62" s="10" t="s">
        <v>18</v>
      </c>
      <c r="H62" s="10" t="s">
        <v>59</v>
      </c>
      <c r="I62" s="10">
        <f>IF(AND(OR(Dashboard!$B$3="Todos",B62=Dashboard!$B$3),OR(Dashboard!$E$3="Todos",H62=Dashboard!$E$3),OR(Dashboard!$H$3="Todos",C62=Dashboard!$H$3),OR(Dashboard!$K$3="Todos",G62=Dashboard!$K$3)),1,0)</f>
        <v>1</v>
      </c>
      <c r="M62" t="s">
        <v>133</v>
      </c>
    </row>
    <row r="63" spans="1:13">
      <c r="A63" s="9">
        <v>46402</v>
      </c>
      <c r="B63" s="10" t="s">
        <v>58</v>
      </c>
      <c r="C63" s="11">
        <v>2027</v>
      </c>
      <c r="D63" s="11">
        <v>2024</v>
      </c>
      <c r="E63" s="12">
        <v>126900</v>
      </c>
      <c r="F63" s="13">
        <v>7200</v>
      </c>
      <c r="G63" s="10" t="s">
        <v>19</v>
      </c>
      <c r="H63" s="10" t="s">
        <v>74</v>
      </c>
      <c r="I63" s="10">
        <f>IF(AND(OR(Dashboard!$B$3="Todos",B63=Dashboard!$B$3),OR(Dashboard!$E$3="Todos",H63=Dashboard!$E$3),OR(Dashboard!$H$3="Todos",C63=Dashboard!$H$3),OR(Dashboard!$K$3="Todos",G63=Dashboard!$K$3)),1,0)</f>
        <v>1</v>
      </c>
      <c r="M63" t="s">
        <v>122</v>
      </c>
    </row>
    <row r="64" spans="1:13">
      <c r="A64" s="9">
        <v>46416</v>
      </c>
      <c r="B64" s="10" t="s">
        <v>87</v>
      </c>
      <c r="C64" s="11">
        <v>2027</v>
      </c>
      <c r="D64" s="11">
        <v>2023</v>
      </c>
      <c r="E64" s="12">
        <v>84500</v>
      </c>
      <c r="F64" s="13">
        <v>21400</v>
      </c>
      <c r="G64" s="10" t="s">
        <v>22</v>
      </c>
      <c r="H64" s="10" t="s">
        <v>65</v>
      </c>
      <c r="I64" s="10">
        <f>IF(AND(OR(Dashboard!$B$3="Todos",B64=Dashboard!$B$3),OR(Dashboard!$E$3="Todos",H64=Dashboard!$E$3),OR(Dashboard!$H$3="Todos",C64=Dashboard!$H$3),OR(Dashboard!$K$3="Todos",G64=Dashboard!$K$3)),1,0)</f>
        <v>1</v>
      </c>
      <c r="M64" t="s">
        <v>116</v>
      </c>
    </row>
    <row r="65" spans="1:13">
      <c r="A65" s="9">
        <v>46429</v>
      </c>
      <c r="B65" s="10" t="s">
        <v>110</v>
      </c>
      <c r="C65" s="11">
        <v>2027</v>
      </c>
      <c r="D65" s="11">
        <v>2022</v>
      </c>
      <c r="E65" s="12">
        <v>69800</v>
      </c>
      <c r="F65" s="13">
        <v>26300</v>
      </c>
      <c r="G65" s="10" t="s">
        <v>23</v>
      </c>
      <c r="H65" s="10" t="s">
        <v>135</v>
      </c>
      <c r="I65" s="10">
        <f>IF(AND(OR(Dashboard!$B$3="Todos",B65=Dashboard!$B$3),OR(Dashboard!$E$3="Todos",H65=Dashboard!$E$3),OR(Dashboard!$H$3="Todos",C65=Dashboard!$H$3),OR(Dashboard!$K$3="Todos",G65=Dashboard!$K$3)),1,0)</f>
        <v>1</v>
      </c>
      <c r="M65" t="s">
        <v>124</v>
      </c>
    </row>
    <row r="66" spans="1:13">
      <c r="A66" s="9">
        <v>46451</v>
      </c>
      <c r="B66" s="10" t="s">
        <v>82</v>
      </c>
      <c r="C66" s="11">
        <v>2027</v>
      </c>
      <c r="D66" s="11">
        <v>2021</v>
      </c>
      <c r="E66" s="12">
        <v>81000</v>
      </c>
      <c r="F66" s="13">
        <v>42</v>
      </c>
      <c r="G66" s="10" t="s">
        <v>20</v>
      </c>
      <c r="H66" s="10" t="s">
        <v>39</v>
      </c>
      <c r="I66" s="10">
        <f>IF(AND(OR(Dashboard!$B$3="Todos",B66=Dashboard!$B$3),OR(Dashboard!$E$3="Todos",H66=Dashboard!$E$3),OR(Dashboard!$H$3="Todos",C66=Dashboard!$H$3),OR(Dashboard!$K$3="Todos",G66=Dashboard!$K$3)),1,0)</f>
        <v>1</v>
      </c>
    </row>
    <row r="67" spans="1:13">
      <c r="A67" s="9">
        <v>46464</v>
      </c>
      <c r="B67" s="10" t="s">
        <v>48</v>
      </c>
      <c r="C67" s="11">
        <v>2027</v>
      </c>
      <c r="D67" s="11">
        <v>2023</v>
      </c>
      <c r="E67" s="12">
        <v>78900</v>
      </c>
      <c r="F67" s="13">
        <v>17500</v>
      </c>
      <c r="G67" s="10" t="s">
        <v>26</v>
      </c>
      <c r="H67" s="10" t="s">
        <v>37</v>
      </c>
      <c r="I67" s="10">
        <f>IF(AND(OR(Dashboard!$B$3="Todos",B67=Dashboard!$B$3),OR(Dashboard!$E$3="Todos",H67=Dashboard!$E$3),OR(Dashboard!$H$3="Todos",C67=Dashboard!$H$3),OR(Dashboard!$K$3="Todos",G67=Dashboard!$K$3)),1,0)</f>
        <v>1</v>
      </c>
    </row>
    <row r="68" spans="1:13">
      <c r="A68" s="9">
        <v>46479</v>
      </c>
      <c r="B68" s="10" t="s">
        <v>36</v>
      </c>
      <c r="C68" s="11">
        <v>2027</v>
      </c>
      <c r="D68" s="11">
        <v>2026</v>
      </c>
      <c r="E68" s="12">
        <v>249300</v>
      </c>
      <c r="F68" s="13">
        <v>900</v>
      </c>
      <c r="G68" s="10" t="s">
        <v>18</v>
      </c>
      <c r="H68" s="10" t="s">
        <v>63</v>
      </c>
      <c r="I68" s="10">
        <f>IF(AND(OR(Dashboard!$B$3="Todos",B68=Dashboard!$B$3),OR(Dashboard!$E$3="Todos",H68=Dashboard!$E$3),OR(Dashboard!$H$3="Todos",C68=Dashboard!$H$3),OR(Dashboard!$K$3="Todos",G68=Dashboard!$K$3)),1,0)</f>
        <v>1</v>
      </c>
    </row>
    <row r="69" spans="1:13">
      <c r="A69" s="9">
        <v>46519</v>
      </c>
      <c r="B69" s="10" t="s">
        <v>60</v>
      </c>
      <c r="C69" s="11">
        <v>2027</v>
      </c>
      <c r="D69" s="11">
        <v>2025</v>
      </c>
      <c r="E69" s="12">
        <v>164000</v>
      </c>
      <c r="F69" s="13">
        <v>0</v>
      </c>
      <c r="G69" s="10" t="s">
        <v>25</v>
      </c>
      <c r="H69" s="10" t="s">
        <v>61</v>
      </c>
      <c r="I69" s="10">
        <f>IF(AND(OR(Dashboard!$B$3="Todos",B69=Dashboard!$B$3),OR(Dashboard!$E$3="Todos",H69=Dashboard!$E$3),OR(Dashboard!$H$3="Todos",C69=Dashboard!$H$3),OR(Dashboard!$K$3="Todos",G69=Dashboard!$K$3)),1,0)</f>
        <v>1</v>
      </c>
    </row>
    <row r="70" spans="1:13">
      <c r="A70" s="9">
        <v>46534</v>
      </c>
      <c r="B70" s="10" t="s">
        <v>112</v>
      </c>
      <c r="C70" s="11">
        <v>2027</v>
      </c>
      <c r="D70" s="11">
        <v>2024</v>
      </c>
      <c r="E70" s="12">
        <v>119000</v>
      </c>
      <c r="F70" s="13">
        <v>13400</v>
      </c>
      <c r="G70" s="10" t="s">
        <v>19</v>
      </c>
      <c r="H70" s="10" t="s">
        <v>132</v>
      </c>
      <c r="I70" s="10">
        <f>IF(AND(OR(Dashboard!$B$3="Todos",B70=Dashboard!$B$3),OR(Dashboard!$E$3="Todos",H70=Dashboard!$E$3),OR(Dashboard!$H$3="Todos",C70=Dashboard!$H$3),OR(Dashboard!$K$3="Todos",G70=Dashboard!$K$3)),1,0)</f>
        <v>1</v>
      </c>
    </row>
    <row r="71" spans="1:13">
      <c r="A71" s="9">
        <v>46556</v>
      </c>
      <c r="B71" s="10" t="s">
        <v>93</v>
      </c>
      <c r="C71" s="11">
        <v>2027</v>
      </c>
      <c r="D71" s="11">
        <v>2023</v>
      </c>
      <c r="E71" s="12">
        <v>96800</v>
      </c>
      <c r="F71" s="13">
        <v>14000</v>
      </c>
      <c r="G71" s="10" t="s">
        <v>21</v>
      </c>
      <c r="H71" s="10" t="s">
        <v>72</v>
      </c>
      <c r="I71" s="10">
        <f>IF(AND(OR(Dashboard!$B$3="Todos",B71=Dashboard!$B$3),OR(Dashboard!$E$3="Todos",H71=Dashboard!$E$3),OR(Dashboard!$H$3="Todos",C71=Dashboard!$H$3),OR(Dashboard!$K$3="Todos",G71=Dashboard!$K$3)),1,0)</f>
        <v>1</v>
      </c>
    </row>
    <row r="72" spans="1:13">
      <c r="A72" s="9">
        <v>46571</v>
      </c>
      <c r="B72" s="10" t="s">
        <v>100</v>
      </c>
      <c r="C72" s="11">
        <v>2027</v>
      </c>
      <c r="D72" s="11">
        <v>2022</v>
      </c>
      <c r="E72" s="12">
        <v>74400</v>
      </c>
      <c r="F72" s="13">
        <v>20750</v>
      </c>
      <c r="G72" s="10" t="s">
        <v>20</v>
      </c>
      <c r="H72" s="10" t="s">
        <v>119</v>
      </c>
      <c r="I72" s="10">
        <f>IF(AND(OR(Dashboard!$B$3="Todos",B72=Dashboard!$B$3),OR(Dashboard!$E$3="Todos",H72=Dashboard!$E$3),OR(Dashboard!$H$3="Todos",C72=Dashboard!$H$3),OR(Dashboard!$K$3="Todos",G72=Dashboard!$K$3)),1,0)</f>
        <v>1</v>
      </c>
    </row>
    <row r="73" spans="1:13">
      <c r="A73" s="9">
        <v>46590</v>
      </c>
      <c r="B73" s="10" t="s">
        <v>89</v>
      </c>
      <c r="C73" s="11">
        <v>2027</v>
      </c>
      <c r="D73" s="11">
        <v>2025</v>
      </c>
      <c r="E73" s="12">
        <v>148500</v>
      </c>
      <c r="F73" s="13">
        <v>5200</v>
      </c>
      <c r="G73" s="10" t="s">
        <v>24</v>
      </c>
      <c r="H73" s="10" t="s">
        <v>49</v>
      </c>
      <c r="I73" s="10">
        <f>IF(AND(OR(Dashboard!$B$3="Todos",B73=Dashboard!$B$3),OR(Dashboard!$E$3="Todos",H73=Dashboard!$E$3),OR(Dashboard!$H$3="Todos",C73=Dashboard!$H$3),OR(Dashboard!$K$3="Todos",G73=Dashboard!$K$3)),1,0)</f>
        <v>1</v>
      </c>
    </row>
    <row r="74" spans="1:13">
      <c r="A74" s="9">
        <v>46607</v>
      </c>
      <c r="B74" s="10" t="s">
        <v>40</v>
      </c>
      <c r="C74" s="11">
        <v>2027</v>
      </c>
      <c r="D74" s="11">
        <v>2021</v>
      </c>
      <c r="E74" s="12">
        <v>71900</v>
      </c>
      <c r="F74" s="13">
        <v>29600</v>
      </c>
      <c r="G74" s="10" t="s">
        <v>22</v>
      </c>
      <c r="H74" s="10" t="s">
        <v>121</v>
      </c>
      <c r="I74" s="10">
        <f>IF(AND(OR(Dashboard!$B$3="Todos",B74=Dashboard!$B$3),OR(Dashboard!$E$3="Todos",H74=Dashboard!$E$3),OR(Dashboard!$H$3="Todos",C74=Dashboard!$H$3),OR(Dashboard!$K$3="Todos",G74=Dashboard!$K$3)),1,0)</f>
        <v>1</v>
      </c>
    </row>
    <row r="75" spans="1:13">
      <c r="A75" s="9">
        <v>46649</v>
      </c>
      <c r="B75" s="10" t="s">
        <v>117</v>
      </c>
      <c r="C75" s="11">
        <v>2027</v>
      </c>
      <c r="D75" s="11">
        <v>2020</v>
      </c>
      <c r="E75" s="12">
        <v>137500</v>
      </c>
      <c r="F75" s="13">
        <v>48000</v>
      </c>
      <c r="G75" s="10" t="s">
        <v>18</v>
      </c>
      <c r="H75" s="10" t="s">
        <v>122</v>
      </c>
      <c r="I75" s="10">
        <f>IF(AND(OR(Dashboard!$B$3="Todos",B75=Dashboard!$B$3),OR(Dashboard!$E$3="Todos",H75=Dashboard!$E$3),OR(Dashboard!$H$3="Todos",C75=Dashboard!$H$3),OR(Dashboard!$K$3="Todos",G75=Dashboard!$K$3)),1,0)</f>
        <v>1</v>
      </c>
    </row>
    <row r="76" spans="1:13">
      <c r="A76" s="9">
        <v>46655</v>
      </c>
      <c r="B76" s="10" t="s">
        <v>68</v>
      </c>
      <c r="C76" s="11">
        <v>2027</v>
      </c>
      <c r="D76" s="11">
        <v>2025</v>
      </c>
      <c r="E76" s="12">
        <v>204800</v>
      </c>
      <c r="F76" s="13">
        <v>3300</v>
      </c>
      <c r="G76" s="10" t="s">
        <v>19</v>
      </c>
      <c r="H76" s="10" t="s">
        <v>124</v>
      </c>
      <c r="I76" s="10">
        <f>IF(AND(OR(Dashboard!$B$3="Todos",B76=Dashboard!$B$3),OR(Dashboard!$E$3="Todos",H76=Dashboard!$E$3),OR(Dashboard!$H$3="Todos",C76=Dashboard!$H$3),OR(Dashboard!$K$3="Todos",G76=Dashboard!$K$3)),1,0)</f>
        <v>1</v>
      </c>
    </row>
    <row r="77" spans="1:13">
      <c r="A77" s="9">
        <v>46661</v>
      </c>
      <c r="B77" s="10" t="s">
        <v>71</v>
      </c>
      <c r="C77" s="11">
        <v>2027</v>
      </c>
      <c r="D77" s="11">
        <v>2024</v>
      </c>
      <c r="E77" s="12">
        <v>271700</v>
      </c>
      <c r="F77" s="13">
        <v>1050</v>
      </c>
      <c r="G77" s="10" t="s">
        <v>21</v>
      </c>
      <c r="H77" s="10" t="s">
        <v>126</v>
      </c>
      <c r="I77" s="10">
        <f>IF(AND(OR(Dashboard!$B$3="Todos",B77=Dashboard!$B$3),OR(Dashboard!$E$3="Todos",H77=Dashboard!$E$3),OR(Dashboard!$H$3="Todos",C77=Dashboard!$H$3),OR(Dashboard!$K$3="Todos",G77=Dashboard!$K$3)),1,0)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</dc:creator>
  <cp:lastModifiedBy>Ailton Silva</cp:lastModifiedBy>
  <dcterms:created xsi:type="dcterms:W3CDTF">2026-10-11T21:40:00Z</dcterms:created>
  <dcterms:modified xsi:type="dcterms:W3CDTF">2026-10-11T21:40:00Z</dcterms:modified>
</cp:coreProperties>
</file>